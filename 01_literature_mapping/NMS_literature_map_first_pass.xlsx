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4efe9d957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524c5f52b1c74bac"/>
    <x:sheet xmlns:r="http://schemas.openxmlformats.org/officeDocument/2006/relationships" name="Summary" sheetId="2" r:id="R9ed585ee33964dee"/>
    <x:sheet xmlns:r="http://schemas.openxmlformats.org/officeDocument/2006/relationships" name="Codebook" sheetId="3" r:id="R76dc31dcf1c8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7"/>
      <x:color rgb="FFFFFFFF"/>
      <x:name val="Aptos Display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i/>
      <x:sz val="11"/>
      <x:color rgb="FF5B4200"/>
      <x:name val="Carlito"/>
    </x:font>
    <x:font>
      <x:b/>
      <x:sz val="17"/>
      <x:color rgb="FFFFFFFF"/>
      <x:name val="Aptos"/>
    </x:font>
    <x:font>
      <x:sz val="11"/>
      <x:name val="Aptos"/>
    </x:font>
    <x:font>
      <x:b/>
      <x:sz val="11"/>
      <x:color rgb="FF16324F"/>
      <x:name val="Aptos"/>
    </x:font>
    <x:font>
      <x:b/>
      <x:sz val="11"/>
      <x:color rgb="FFFFFFFF"/>
      <x:name val="Aptos"/>
    </x:font>
    <x:font>
      <x:i/>
      <x:sz val="11"/>
      <x:color rgb="FF5B42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2B5D7D"/>
      </x:patternFill>
    </x:fill>
    <x:fill>
      <x:patternFill patternType="solid">
        <x:fgColor rgb="FFF7FAFC"/>
      </x:patternFill>
    </x:fill>
    <x:fill>
      <x:patternFill patternType="solid">
        <x:fgColor rgb="FFFFF4D6"/>
      </x:patternFill>
    </x:fill>
  </x:fills>
  <x:borders count="52">
    <x:border/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2B5D7D"/>
      </x:left>
      <x:top style="thin">
        <x:color rgb="FF2B5D7D"/>
      </x:top>
      <x:bottom style="thin">
        <x:color rgb="FF2B5D7D"/>
      </x:bottom>
    </x:border>
    <x:border>
      <x:right style="thin">
        <x:color rgb="FF2B5D7D"/>
      </x:right>
      <x:top style="thin">
        <x:color rgb="FF2B5D7D"/>
      </x:top>
      <x:bottom style="thin">
        <x:color rgb="FF2B5D7D"/>
      </x:bottom>
    </x:border>
    <x:border>
      <x:left style="thin">
        <x:color rgb="FF2B5D7D"/>
      </x:left>
      <x:top style="thin">
        <x:color rgb="FF2B5D7D"/>
      </x:top>
      <x:bottom style="thin">
        <x:color rgb="FF2B5D7D"/>
      </x:bottom>
    </x:border>
    <x:border>
      <x:right style="thin">
        <x:color rgb="FF2B5D7D"/>
      </x:right>
      <x:top style="thin">
        <x:color rgb="FF2B5D7D"/>
      </x:top>
      <x:bottom style="thin">
        <x:color rgb="FF2B5D7D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  <x:border>
      <x:left style="thin">
        <x:color rgb="FFE2BF62"/>
      </x:left>
      <x:top style="thin">
        <x:color rgb="FFE2BF62"/>
      </x:top>
    </x:border>
    <x:border>
      <x:top style="thin">
        <x:color rgb="FFE2BF62"/>
      </x:top>
    </x:border>
    <x:border>
      <x:right style="thin">
        <x:color rgb="FFE2BF62"/>
      </x:right>
      <x:top style="thin">
        <x:color rgb="FFE2BF62"/>
      </x:top>
    </x:border>
    <x:border>
      <x:left style="thin">
        <x:color rgb="FFE2BF62"/>
      </x:left>
    </x:border>
    <x:border>
      <x:right style="thin">
        <x:color rgb="FFE2BF62"/>
      </x:right>
    </x:border>
    <x:border>
      <x:left style="thin">
        <x:color rgb="FFE2BF62"/>
      </x:left>
      <x:bottom style="thin">
        <x:color rgb="FFE2BF62"/>
      </x:bottom>
    </x:border>
    <x:border>
      <x:bottom style="thin">
        <x:color rgb="FFE2BF62"/>
      </x:bottom>
    </x:border>
    <x:border>
      <x:right style="thin">
        <x:color rgb="FFE2BF62"/>
      </x:right>
      <x:bottom style="thin">
        <x:color rgb="FFE2BF62"/>
      </x:bottom>
    </x:border>
    <x:border>
      <x:left style="thin">
        <x:color rgb="FFE2BF62"/>
      </x:left>
      <x:top style="thin">
        <x:color rgb="FFE2BF62"/>
      </x:top>
    </x:border>
    <x:border>
      <x:top style="thin">
        <x:color rgb="FFE2BF62"/>
      </x:top>
    </x:border>
    <x:border>
      <x:right style="thin">
        <x:color rgb="FFE2BF62"/>
      </x:right>
      <x:top style="thin">
        <x:color rgb="FFE2BF62"/>
      </x:top>
    </x:border>
    <x:border>
      <x:left style="thin">
        <x:color rgb="FFE2BF62"/>
      </x:left>
    </x:border>
    <x:border>
      <x:right style="thin">
        <x:color rgb="FFE2BF62"/>
      </x:right>
    </x:border>
    <x:border>
      <x:left style="thin">
        <x:color rgb="FFE2BF62"/>
      </x:left>
      <x:bottom style="thin">
        <x:color rgb="FFE2BF62"/>
      </x:bottom>
    </x:border>
    <x:border>
      <x:bottom style="thin">
        <x:color rgb="FFE2BF62"/>
      </x:bottom>
    </x:border>
    <x:border>
      <x:right style="thin">
        <x:color rgb="FFE2BF62"/>
      </x:right>
      <x:bottom style="thin">
        <x:color rgb="FFE2BF62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</x:borders>
  <x:cellStyleXfs count="1">
    <x:xf numFmtId="0" fontId="0" fillId="0" borderId="0"/>
  </x:cellStyleXfs>
  <x:cellXfs count="2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4" xfId="0" applyNumberFormat="1" applyFont="1" applyFill="1" applyBorder="1" applyAlignment="1">
      <x:alignment horizontal="center"/>
    </x:xf>
    <x:xf numFmtId="0" fontId="5" fillId="4" borderId="15" xfId="0" applyNumberFormat="1" applyFont="1" applyFill="1" applyBorder="1" applyAlignment="1">
      <x:alignment horizontal="center"/>
    </x:xf>
    <x:xf numFmtId="0" fontId="5" fillId="4" borderId="16" xfId="0" applyNumberFormat="1" applyFont="1" applyFill="1" applyBorder="1" applyAlignment="1">
      <x:alignment horizontal="center"/>
    </x:xf>
    <x:xf numFmtId="0" fontId="5" fillId="4" borderId="1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18" xfId="0" applyNumberFormat="1" applyFont="1" applyFill="1" applyBorder="1" applyAlignment="1">
      <x:alignment vertical="center"/>
    </x:xf>
    <x:xf numFmtId="0" fontId="0" fillId="5" borderId="19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 applyAlignment="1">
      <x:alignment vertical="center"/>
    </x:xf>
    <x:xf numFmtId="0" fontId="0" fillId="5" borderId="21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vertical="center"/>
    </x:xf>
    <x:xf numFmtId="0" fontId="0" fillId="5" borderId="23" xfId="0" applyNumberFormat="1" applyFont="1" applyFill="1" applyBorder="1" applyAlignment="1">
      <x:alignment vertical="center"/>
    </x:xf>
    <x:xf numFmtId="0" fontId="0" fillId="5" borderId="24" xfId="0" applyNumberFormat="1" applyFont="1" applyFill="1" applyBorder="1" applyAlignment="1">
      <x:alignment vertical="center"/>
    </x:xf>
    <x:xf numFmtId="0" fontId="0" fillId="5" borderId="25" xfId="0" applyNumberFormat="1" applyFont="1" applyFill="1" applyBorder="1" applyAlignment="1">
      <x:alignment vertical="center"/>
    </x:xf>
    <x:xf numFmtId="0" fontId="0" fillId="5" borderId="26" xfId="0" applyNumberFormat="1" applyFont="1" applyFill="1" applyBorder="1" applyAlignment="1">
      <x:alignment vertical="center"/>
    </x:xf>
    <x:xf numFmtId="0" fontId="0" fillId="5" borderId="27" xfId="0" applyNumberFormat="1" applyFont="1" applyFill="1" applyBorder="1" applyAlignment="1">
      <x:alignment vertical="center"/>
    </x:xf>
    <x:xf numFmtId="0" fontId="0" fillId="5" borderId="28" xfId="0" applyNumberFormat="1" applyFont="1" applyFill="1" applyBorder="1" applyAlignment="1">
      <x:alignment vertical="center"/>
    </x:xf>
    <x:xf numFmtId="0" fontId="0" fillId="5" borderId="29" xfId="0" applyNumberFormat="1" applyFont="1" applyFill="1" applyBorder="1" applyAlignment="1">
      <x:alignment vertical="center"/>
    </x:xf>
    <x:xf numFmtId="0" fontId="0" fillId="5" borderId="19" xfId="0" applyNumberFormat="1" applyFont="1" applyFill="1" applyBorder="1" applyAlignment="1">
      <x:alignment horizontal="center" vertical="center"/>
    </x:xf>
    <x:xf numFmtId="0" fontId="0" fillId="5" borderId="21" xfId="0" applyNumberFormat="1" applyFont="1" applyFill="1" applyBorder="1" applyAlignment="1">
      <x:alignment horizontal="center" vertical="center"/>
    </x:xf>
    <x:xf numFmtId="0" fontId="0" fillId="5" borderId="23" xfId="0" applyNumberFormat="1" applyFont="1" applyFill="1" applyBorder="1" applyAlignment="1">
      <x:alignment horizontal="center" vertical="center"/>
    </x:xf>
    <x:xf numFmtId="0" fontId="0" fillId="5" borderId="25" xfId="0" applyNumberFormat="1" applyFont="1" applyFill="1" applyBorder="1" applyAlignment="1">
      <x:alignment horizontal="center" vertical="center"/>
    </x:xf>
    <x:xf numFmtId="0" fontId="0" fillId="5" borderId="27" xfId="0" applyNumberFormat="1" applyFont="1" applyFill="1" applyBorder="1" applyAlignment="1">
      <x:alignment horizontal="center" vertical="center"/>
    </x:xf>
    <x:xf numFmtId="0" fontId="0" fillId="5" borderId="2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30" xfId="0" applyNumberFormat="1" applyFont="1" applyFill="1" applyBorder="1"/>
    <x:xf numFmtId="0" fontId="6" fillId="6" borderId="31" xfId="0" applyNumberFormat="1" applyFont="1" applyFill="1" applyBorder="1"/>
    <x:xf numFmtId="0" fontId="6" fillId="6" borderId="32" xfId="0" applyNumberFormat="1" applyFont="1" applyFill="1" applyBorder="1"/>
    <x:xf numFmtId="0" fontId="6" fillId="6" borderId="33" xfId="0" applyNumberFormat="1" applyFont="1" applyFill="1" applyBorder="1"/>
    <x:xf numFmtId="0" fontId="6" fillId="6" borderId="34" xfId="0" applyNumberFormat="1" applyFont="1" applyFill="1" applyBorder="1"/>
    <x:xf numFmtId="0" fontId="6" fillId="6" borderId="35" xfId="0" applyNumberFormat="1" applyFont="1" applyFill="1" applyBorder="1"/>
    <x:xf numFmtId="0" fontId="6" fillId="6" borderId="36" xfId="0" applyNumberFormat="1" applyFont="1" applyFill="1" applyBorder="1"/>
    <x:xf numFmtId="0" fontId="6" fillId="6" borderId="37" xfId="0" applyNumberFormat="1" applyFont="1" applyFill="1" applyBorder="1"/>
    <x:xf numFmtId="0" fontId="6" fillId="6" borderId="38" xfId="0" applyNumberFormat="1" applyFont="1" applyFill="1" applyBorder="1"/>
    <x:xf numFmtId="0" fontId="6" fillId="6" borderId="39" xfId="0" applyNumberFormat="1" applyFont="1" applyFill="1" applyBorder="1"/>
    <x:xf numFmtId="0" fontId="6" fillId="6" borderId="40" xfId="0" applyNumberFormat="1" applyFont="1" applyFill="1" applyBorder="1"/>
    <x:xf numFmtId="0" fontId="6" fillId="6" borderId="41" xfId="0" applyNumberFormat="1" applyFont="1" applyFill="1" applyBorder="1"/>
    <x:xf numFmtId="0" fontId="6" fillId="6" borderId="42" xfId="0" applyNumberFormat="1" applyFont="1" applyFill="1" applyBorder="1"/>
    <x:xf numFmtId="0" fontId="6" fillId="6" borderId="43" xfId="0" applyNumberFormat="1" applyFont="1" applyFill="1" applyBorder="1"/>
    <x:xf numFmtId="0" fontId="6" fillId="6" borderId="44" xfId="0" applyNumberFormat="1" applyFont="1" applyFill="1" applyBorder="1"/>
    <x:xf numFmtId="0" fontId="6" fillId="6" borderId="45" xfId="0" applyNumberFormat="1" applyFont="1" applyFill="1" applyBorder="1"/>
    <x:xf numFmtId="0" fontId="6" fillId="6" borderId="30" xfId="0" applyNumberFormat="1" applyFont="1" applyFill="1" applyBorder="1" applyAlignment="1">
      <x:alignment wrapText="1"/>
    </x:xf>
    <x:xf numFmtId="0" fontId="6" fillId="6" borderId="31" xfId="0" applyNumberFormat="1" applyFont="1" applyFill="1" applyBorder="1" applyAlignment="1">
      <x:alignment wrapText="1"/>
    </x:xf>
    <x:xf numFmtId="0" fontId="6" fillId="6" borderId="32" xfId="0" applyNumberFormat="1" applyFont="1" applyFill="1" applyBorder="1" applyAlignment="1">
      <x:alignment wrapText="1"/>
    </x:xf>
    <x:xf numFmtId="0" fontId="6" fillId="6" borderId="3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34" xfId="0" applyNumberFormat="1" applyFont="1" applyFill="1" applyBorder="1" applyAlignment="1">
      <x:alignment wrapText="1"/>
    </x:xf>
    <x:xf numFmtId="0" fontId="6" fillId="6" borderId="35" xfId="0" applyNumberFormat="1" applyFont="1" applyFill="1" applyBorder="1" applyAlignment="1">
      <x:alignment wrapText="1"/>
    </x:xf>
    <x:xf numFmtId="0" fontId="6" fillId="6" borderId="36" xfId="0" applyNumberFormat="1" applyFont="1" applyFill="1" applyBorder="1" applyAlignment="1">
      <x:alignment wrapText="1"/>
    </x:xf>
    <x:xf numFmtId="0" fontId="6" fillId="6" borderId="37" xfId="0" applyNumberFormat="1" applyFont="1" applyFill="1" applyBorder="1" applyAlignment="1">
      <x:alignment wrapText="1"/>
    </x:xf>
    <x:xf numFmtId="0" fontId="6" fillId="6" borderId="38" xfId="0" applyNumberFormat="1" applyFont="1" applyFill="1" applyBorder="1" applyAlignment="1">
      <x:alignment wrapText="1"/>
    </x:xf>
    <x:xf numFmtId="0" fontId="6" fillId="6" borderId="39" xfId="0" applyNumberFormat="1" applyFont="1" applyFill="1" applyBorder="1" applyAlignment="1">
      <x:alignment wrapText="1"/>
    </x:xf>
    <x:xf numFmtId="0" fontId="6" fillId="6" borderId="40" xfId="0" applyNumberFormat="1" applyFont="1" applyFill="1" applyBorder="1" applyAlignment="1">
      <x:alignment wrapText="1"/>
    </x:xf>
    <x:xf numFmtId="0" fontId="6" fillId="6" borderId="4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42" xfId="0" applyNumberFormat="1" applyFont="1" applyFill="1" applyBorder="1" applyAlignment="1">
      <x:alignment wrapText="1"/>
    </x:xf>
    <x:xf numFmtId="0" fontId="6" fillId="6" borderId="43" xfId="0" applyNumberFormat="1" applyFont="1" applyFill="1" applyBorder="1" applyAlignment="1">
      <x:alignment wrapText="1"/>
    </x:xf>
    <x:xf numFmtId="0" fontId="6" fillId="6" borderId="44" xfId="0" applyNumberFormat="1" applyFont="1" applyFill="1" applyBorder="1" applyAlignment="1">
      <x:alignment wrapText="1"/>
    </x:xf>
    <x:xf numFmtId="0" fontId="6" fillId="6" borderId="45" xfId="0" applyNumberFormat="1" applyFont="1" applyFill="1" applyBorder="1" applyAlignment="1">
      <x:alignment wrapText="1"/>
    </x:xf>
    <x:xf numFmtId="0" fontId="6" fillId="6" borderId="30" xfId="0" applyNumberFormat="1" applyFont="1" applyFill="1" applyBorder="1" applyAlignment="1">
      <x:alignment vertical="center" wrapText="1"/>
    </x:xf>
    <x:xf numFmtId="0" fontId="6" fillId="6" borderId="31" xfId="0" applyNumberFormat="1" applyFont="1" applyFill="1" applyBorder="1" applyAlignment="1">
      <x:alignment vertical="center" wrapText="1"/>
    </x:xf>
    <x:xf numFmtId="0" fontId="6" fillId="6" borderId="32" xfId="0" applyNumberFormat="1" applyFont="1" applyFill="1" applyBorder="1" applyAlignment="1">
      <x:alignment vertical="center" wrapText="1"/>
    </x:xf>
    <x:xf numFmtId="0" fontId="6" fillId="6" borderId="3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34" xfId="0" applyNumberFormat="1" applyFont="1" applyFill="1" applyBorder="1" applyAlignment="1">
      <x:alignment vertical="center" wrapText="1"/>
    </x:xf>
    <x:xf numFmtId="0" fontId="6" fillId="6" borderId="35" xfId="0" applyNumberFormat="1" applyFont="1" applyFill="1" applyBorder="1" applyAlignment="1">
      <x:alignment vertical="center" wrapText="1"/>
    </x:xf>
    <x:xf numFmtId="0" fontId="6" fillId="6" borderId="36" xfId="0" applyNumberFormat="1" applyFont="1" applyFill="1" applyBorder="1" applyAlignment="1">
      <x:alignment vertical="center" wrapText="1"/>
    </x:xf>
    <x:xf numFmtId="0" fontId="6" fillId="6" borderId="37" xfId="0" applyNumberFormat="1" applyFont="1" applyFill="1" applyBorder="1" applyAlignment="1">
      <x:alignment vertical="center" wrapText="1"/>
    </x:xf>
    <x:xf numFmtId="0" fontId="6" fillId="6" borderId="38" xfId="0" applyNumberFormat="1" applyFont="1" applyFill="1" applyBorder="1" applyAlignment="1">
      <x:alignment vertical="center" wrapText="1"/>
    </x:xf>
    <x:xf numFmtId="0" fontId="6" fillId="6" borderId="39" xfId="0" applyNumberFormat="1" applyFont="1" applyFill="1" applyBorder="1" applyAlignment="1">
      <x:alignment vertical="center" wrapText="1"/>
    </x:xf>
    <x:xf numFmtId="0" fontId="6" fillId="6" borderId="40" xfId="0" applyNumberFormat="1" applyFont="1" applyFill="1" applyBorder="1" applyAlignment="1">
      <x:alignment vertical="center" wrapText="1"/>
    </x:xf>
    <x:xf numFmtId="0" fontId="6" fillId="6" borderId="4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42" xfId="0" applyNumberFormat="1" applyFont="1" applyFill="1" applyBorder="1" applyAlignment="1">
      <x:alignment vertical="center" wrapText="1"/>
    </x:xf>
    <x:xf numFmtId="0" fontId="6" fillId="6" borderId="43" xfId="0" applyNumberFormat="1" applyFont="1" applyFill="1" applyBorder="1" applyAlignment="1">
      <x:alignment vertical="center" wrapText="1"/>
    </x:xf>
    <x:xf numFmtId="0" fontId="6" fillId="6" borderId="44" xfId="0" applyNumberFormat="1" applyFont="1" applyFill="1" applyBorder="1" applyAlignment="1">
      <x:alignment vertical="center" wrapText="1"/>
    </x:xf>
    <x:xf numFmtId="0" fontId="6" fillId="6" borderId="45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8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horizontal="center" vertical="center"/>
    </x:xf>
    <x:xf numFmtId="0" fontId="9" fillId="3" borderId="9" xfId="0" applyNumberFormat="1" applyFont="1" applyFill="1" applyBorder="1" applyAlignment="1">
      <x:alignment vertical="center"/>
    </x:xf>
    <x:xf numFmtId="0" fontId="9" fillId="3" borderId="10" xfId="0" applyNumberFormat="1" applyFont="1" applyFill="1" applyBorder="1" applyAlignment="1">
      <x:alignment vertical="center"/>
    </x:xf>
    <x:xf numFmtId="0" fontId="10" fillId="4" borderId="14" xfId="0" applyNumberFormat="1" applyFont="1" applyFill="1" applyBorder="1" applyAlignment="1">
      <x:alignment horizontal="center"/>
    </x:xf>
    <x:xf numFmtId="0" fontId="10" fillId="4" borderId="15" xfId="0" applyNumberFormat="1" applyFont="1" applyFill="1" applyBorder="1" applyAlignment="1">
      <x:alignment horizontal="center"/>
    </x:xf>
    <x:xf numFmtId="0" fontId="8" fillId="5" borderId="18" xfId="0" applyNumberFormat="1" applyFont="1" applyFill="1" applyBorder="1" applyAlignment="1">
      <x:alignment vertical="center"/>
    </x:xf>
    <x:xf numFmtId="0" fontId="8" fillId="5" borderId="19" xfId="0" applyNumberFormat="1" applyFont="1" applyFill="1" applyBorder="1" applyAlignment="1">
      <x:alignment horizontal="center" vertical="center"/>
    </x:xf>
    <x:xf numFmtId="0" fontId="8" fillId="5" borderId="19" xfId="0" applyNumberFormat="1" applyFont="1" applyFill="1" applyBorder="1" applyAlignment="1">
      <x:alignment vertical="center"/>
    </x:xf>
    <x:xf numFmtId="0" fontId="8" fillId="5" borderId="20" xfId="0" applyNumberFormat="1" applyFont="1" applyFill="1" applyBorder="1" applyAlignment="1">
      <x:alignment vertical="center"/>
    </x:xf>
    <x:xf numFmtId="0" fontId="8" fillId="5" borderId="21" xfId="0" applyNumberFormat="1" applyFont="1" applyFill="1" applyBorder="1" applyAlignment="1">
      <x:alignment horizontal="center" vertical="center"/>
    </x:xf>
    <x:xf numFmtId="0" fontId="8" fillId="5" borderId="21" xfId="0" applyNumberFormat="1" applyFont="1" applyFill="1" applyBorder="1" applyAlignment="1">
      <x:alignment vertical="center"/>
    </x:xf>
    <x:xf numFmtId="0" fontId="8" fillId="5" borderId="22" xfId="0" applyNumberFormat="1" applyFont="1" applyFill="1" applyBorder="1" applyAlignment="1">
      <x:alignment vertical="center"/>
    </x:xf>
    <x:xf numFmtId="0" fontId="8" fillId="5" borderId="23" xfId="0" applyNumberFormat="1" applyFont="1" applyFill="1" applyBorder="1" applyAlignment="1">
      <x:alignment vertical="center"/>
    </x:xf>
    <x:xf numFmtId="0" fontId="8" fillId="5" borderId="23" xfId="0" applyNumberFormat="1" applyFont="1" applyFill="1" applyBorder="1" applyAlignment="1">
      <x:alignment horizontal="center" vertical="center"/>
    </x:xf>
    <x:xf numFmtId="0" fontId="11" fillId="6" borderId="30" xfId="0" applyNumberFormat="1" applyFont="1" applyFill="1" applyBorder="1" applyAlignment="1">
      <x:alignment vertical="center" wrapText="1"/>
    </x:xf>
    <x:xf numFmtId="0" fontId="11" fillId="6" borderId="31" xfId="0" applyNumberFormat="1" applyFont="1" applyFill="1" applyBorder="1" applyAlignment="1">
      <x:alignment vertical="center" wrapText="1"/>
    </x:xf>
    <x:xf numFmtId="0" fontId="11" fillId="6" borderId="32" xfId="0" applyNumberFormat="1" applyFont="1" applyFill="1" applyBorder="1" applyAlignment="1">
      <x:alignment vertical="center" wrapText="1"/>
    </x:xf>
    <x:xf numFmtId="0" fontId="11" fillId="6" borderId="33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34" xfId="0" applyNumberFormat="1" applyFont="1" applyFill="1" applyBorder="1" applyAlignment="1">
      <x:alignment vertical="center" wrapText="1"/>
    </x:xf>
    <x:xf numFmtId="0" fontId="11" fillId="6" borderId="35" xfId="0" applyNumberFormat="1" applyFont="1" applyFill="1" applyBorder="1" applyAlignment="1">
      <x:alignment vertical="center" wrapText="1"/>
    </x:xf>
    <x:xf numFmtId="0" fontId="11" fillId="6" borderId="36" xfId="0" applyNumberFormat="1" applyFont="1" applyFill="1" applyBorder="1" applyAlignment="1">
      <x:alignment vertical="center" wrapText="1"/>
    </x:xf>
    <x:xf numFmtId="0" fontId="11" fillId="6" borderId="37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/>
    <x:xf numFmtId="0" fontId="9" fillId="3" borderId="11" xfId="0" applyNumberFormat="1" applyFont="1" applyFill="1" applyBorder="1" applyAlignment="1">
      <x:alignment vertical="center"/>
    </x:xf>
    <x:xf numFmtId="0" fontId="9" fillId="3" borderId="12" xfId="0" applyNumberFormat="1" applyFont="1" applyFill="1" applyBorder="1" applyAlignment="1">
      <x:alignment horizontal="center" vertical="center"/>
    </x:xf>
    <x:xf numFmtId="0" fontId="9" fillId="3" borderId="12" xfId="0" applyNumberFormat="1" applyFont="1" applyFill="1" applyBorder="1" applyAlignment="1">
      <x:alignment vertical="center"/>
    </x:xf>
    <x:xf numFmtId="0" fontId="9" fillId="3" borderId="13" xfId="0" applyNumberFormat="1" applyFont="1" applyFill="1" applyBorder="1" applyAlignment="1">
      <x:alignment vertical="center"/>
    </x:xf>
    <x:xf numFmtId="0" fontId="10" fillId="4" borderId="16" xfId="0" applyNumberFormat="1" applyFont="1" applyFill="1" applyBorder="1" applyAlignment="1">
      <x:alignment horizontal="center"/>
    </x:xf>
    <x:xf numFmtId="0" fontId="10" fillId="4" borderId="17" xfId="0" applyNumberFormat="1" applyFont="1" applyFill="1" applyBorder="1" applyAlignment="1">
      <x:alignment horizontal="center"/>
    </x:xf>
    <x:xf numFmtId="0" fontId="8" fillId="5" borderId="24" xfId="0" applyNumberFormat="1" applyFont="1" applyFill="1" applyBorder="1" applyAlignment="1">
      <x:alignment vertical="center"/>
    </x:xf>
    <x:xf numFmtId="0" fontId="8" fillId="5" borderId="25" xfId="0" applyNumberFormat="1" applyFont="1" applyFill="1" applyBorder="1" applyAlignment="1">
      <x:alignment horizontal="center" vertical="center"/>
    </x:xf>
    <x:xf numFmtId="0" fontId="8" fillId="5" borderId="25" xfId="0" applyNumberFormat="1" applyFont="1" applyFill="1" applyBorder="1" applyAlignment="1">
      <x:alignment vertical="center"/>
    </x:xf>
    <x:xf numFmtId="0" fontId="8" fillId="5" borderId="26" xfId="0" applyNumberFormat="1" applyFont="1" applyFill="1" applyBorder="1" applyAlignment="1">
      <x:alignment vertical="center"/>
    </x:xf>
    <x:xf numFmtId="0" fontId="8" fillId="5" borderId="27" xfId="0" applyNumberFormat="1" applyFont="1" applyFill="1" applyBorder="1" applyAlignment="1">
      <x:alignment horizontal="center" vertical="center"/>
    </x:xf>
    <x:xf numFmtId="0" fontId="8" fillId="5" borderId="27" xfId="0" applyNumberFormat="1" applyFont="1" applyFill="1" applyBorder="1" applyAlignment="1">
      <x:alignment vertical="center"/>
    </x:xf>
    <x:xf numFmtId="0" fontId="8" fillId="5" borderId="28" xfId="0" applyNumberFormat="1" applyFont="1" applyFill="1" applyBorder="1" applyAlignment="1">
      <x:alignment vertical="center"/>
    </x:xf>
    <x:xf numFmtId="0" fontId="8" fillId="5" borderId="29" xfId="0" applyNumberFormat="1" applyFont="1" applyFill="1" applyBorder="1" applyAlignment="1">
      <x:alignment vertical="center"/>
    </x:xf>
    <x:xf numFmtId="0" fontId="8" fillId="5" borderId="29" xfId="0" applyNumberFormat="1" applyFont="1" applyFill="1" applyBorder="1" applyAlignment="1">
      <x:alignment horizontal="center" vertical="center"/>
    </x:xf>
    <x:xf numFmtId="0" fontId="11" fillId="6" borderId="38" xfId="0" applyNumberFormat="1" applyFont="1" applyFill="1" applyBorder="1" applyAlignment="1">
      <x:alignment vertical="center" wrapText="1"/>
    </x:xf>
    <x:xf numFmtId="0" fontId="11" fillId="6" borderId="39" xfId="0" applyNumberFormat="1" applyFont="1" applyFill="1" applyBorder="1" applyAlignment="1">
      <x:alignment vertical="center" wrapText="1"/>
    </x:xf>
    <x:xf numFmtId="0" fontId="11" fillId="6" borderId="40" xfId="0" applyNumberFormat="1" applyFont="1" applyFill="1" applyBorder="1" applyAlignment="1">
      <x:alignment vertical="center" wrapText="1"/>
    </x:xf>
    <x:xf numFmtId="0" fontId="11" fillId="6" borderId="4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42" xfId="0" applyNumberFormat="1" applyFont="1" applyFill="1" applyBorder="1" applyAlignment="1">
      <x:alignment vertical="center" wrapText="1"/>
    </x:xf>
    <x:xf numFmtId="0" fontId="11" fillId="6" borderId="43" xfId="0" applyNumberFormat="1" applyFont="1" applyFill="1" applyBorder="1" applyAlignment="1">
      <x:alignment vertical="center" wrapText="1"/>
    </x:xf>
    <x:xf numFmtId="0" fontId="11" fillId="6" borderId="44" xfId="0" applyNumberFormat="1" applyFont="1" applyFill="1" applyBorder="1" applyAlignment="1">
      <x:alignment vertical="center" wrapText="1"/>
    </x:xf>
    <x:xf numFmtId="0" fontId="11" fillId="6" borderId="4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46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47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48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49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50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51" xfId="0" applyNumberFormat="1" applyFont="1" applyFill="1" applyBorder="1"/>
    <x:xf numFmtId="0" fontId="0" fillId="0" borderId="29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47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48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9" fillId="3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274E13"/>
      </x:font>
      <x:fill>
        <x:patternFill>
          <x:bgColor rgb="FFD9EAD3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9af67b0724925" /><Relationship Type="http://schemas.openxmlformats.org/officeDocument/2006/relationships/theme" Target="/xl/theme/theme1.xml" Id="Rf1f99f38a6694003" /><Relationship Type="http://schemas.openxmlformats.org/officeDocument/2006/relationships/sharedStrings" Target="/xl/sharedStrings.xml" Id="Rbaf9b34c69b541c9" /><Relationship Type="http://schemas.openxmlformats.org/officeDocument/2006/relationships/worksheet" Target="/xl/worksheets/sheet1.xml" Id="R524c5f52b1c74bac" /><Relationship Type="http://schemas.openxmlformats.org/officeDocument/2006/relationships/worksheet" Target="/xl/worksheets/sheet2.xml" Id="R9ed585ee33964dee" /><Relationship Type="http://schemas.openxmlformats.org/officeDocument/2006/relationships/worksheet" Target="/xl/worksheets/sheet3.xml" Id="R76dc31dcf1c84961" /></Relationships>
</file>

<file path=xl/tables/table1.xml><?xml version="1.0" encoding="utf-8"?>
<x:table xmlns:x="http://schemas.openxmlformats.org/spreadsheetml/2006/main" id="1" name="LiteratureMatrixTable" displayName="LiteratureMatrixTable" ref="A1:R68" headerRowCount="1" totalsRowCount="0" totalsRowShown="0">
  <x:autoFilter ref="A1:R68"/>
  <x:tableColumns count="18">
    <x:tableColumn id="1" name="id"/>
    <x:tableColumn id="2" name="year"/>
    <x:tableColumn id="3" name="authors"/>
    <x:tableColumn id="4" name="title"/>
    <x:tableColumn id="5" name="venue"/>
    <x:tableColumn id="6" name="source_url"/>
    <x:tableColumn id="7" name="primary_cluster"/>
    <x:tableColumn id="8" name="population_or_scope"/>
    <x:tableColumn id="9" name="sensing_or_input"/>
    <x:tableColumn id="10" name="model_or_method"/>
    <x:tableColumn id="11" name="personalization"/>
    <x:tableColumn id="12" name="online_sync"/>
    <x:tableColumn id="13" name="bidirectional_action"/>
    <x:tableColumn id="14" name="validation_level"/>
    <x:tableColumn id="15" name="dt_status"/>
    <x:tableColumn id="16" name="evidence_status"/>
    <x:tableColumn id="17" name="priority"/>
    <x:tableColumn id="18" name="screening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e1ab64b9444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24" hidden="0" customWidth="1"/>
    <x:col min="4" max="4" width="56" hidden="0" customWidth="1"/>
    <x:col min="5" max="5" width="28" hidden="0" customWidth="1"/>
    <x:col min="6" max="6" width="42" hidden="0" customWidth="1"/>
    <x:col min="7" max="7" width="26" hidden="0" customWidth="1"/>
    <x:col min="8" max="8" width="24" hidden="0" customWidth="1"/>
    <x:col min="9" max="9" width="32" hidden="0" customWidth="1"/>
    <x:col min="10" max="10" width="38" hidden="0" customWidth="1"/>
    <x:col min="11" max="11" width="28" hidden="0" customWidth="1"/>
    <x:col min="12" max="12" width="18" hidden="0" customWidth="1"/>
    <x:col min="13" max="13" width="23" hidden="0" customWidth="1"/>
    <x:col min="14" max="14" width="28" hidden="0" customWidth="1"/>
    <x:col min="15" max="15" width="18" hidden="0" customWidth="1"/>
    <x:col min="16" max="16" width="28" hidden="0" customWidth="1"/>
    <x:col min="17" max="17" width="11" hidden="0" customWidth="1"/>
    <x:col min="18" max="18" width="50" hidden="0" customWidth="1"/>
  </x:cols>
  <x:sheetData>
    <x:row r="1" ht="34" customHeight="1">
      <x:c r="A1" s="28" t="str">
        <x:v>id</x:v>
      </x:c>
      <x:c r="B1" s="29" t="str">
        <x:v>year</x:v>
      </x:c>
      <x:c r="C1" s="29" t="str">
        <x:v>authors</x:v>
      </x:c>
      <x:c r="D1" s="29" t="str">
        <x:v>title</x:v>
      </x:c>
      <x:c r="E1" s="29" t="str">
        <x:v>venue</x:v>
      </x:c>
      <x:c r="F1" s="29" t="str">
        <x:v>source_url</x:v>
      </x:c>
      <x:c r="G1" s="29" t="str">
        <x:v>primary_cluster</x:v>
      </x:c>
      <x:c r="H1" s="29" t="str">
        <x:v>population_or_scope</x:v>
      </x:c>
      <x:c r="I1" s="29" t="str">
        <x:v>sensing_or_input</x:v>
      </x:c>
      <x:c r="J1" s="29" t="str">
        <x:v>model_or_method</x:v>
      </x:c>
      <x:c r="K1" s="29" t="str">
        <x:v>personalization</x:v>
      </x:c>
      <x:c r="L1" s="29" t="str">
        <x:v>online_sync</x:v>
      </x:c>
      <x:c r="M1" s="29" t="str">
        <x:v>bidirectional_action</x:v>
      </x:c>
      <x:c r="N1" s="29" t="str">
        <x:v>validation_level</x:v>
      </x:c>
      <x:c r="O1" s="29" t="str">
        <x:v>dt_status</x:v>
      </x:c>
      <x:c r="P1" s="29" t="str">
        <x:v>evidence_status</x:v>
      </x:c>
      <x:c r="Q1" s="29" t="str">
        <x:v>priority</x:v>
      </x:c>
      <x:c r="R1" s="30" t="str">
        <x:v>screening_note</x:v>
      </x:c>
    </x:row>
    <x:row r="2" ht="48" customHeight="1">
      <x:c r="A2" s="36" t="str">
        <x:v>DT001</x:v>
      </x:c>
      <x:c r="B2" s="36" t="str">
        <x:v>2023</x:v>
      </x:c>
      <x:c r="C2" s="34" t="str">
        <x:v>Saxby; Pizzolato; Diamond</x:v>
      </x:c>
      <x:c r="D2" s="34" t="str">
        <x:v>A Digital Twin Framework for Precision Neuromusculoskeletal Health Care: Extension Upon Industrial Standards</x:v>
      </x:c>
      <x:c r="E2" s="34" t="str">
        <x:v>Journal of Applied Biomechanics</x:v>
      </x:c>
      <x:c r="F2" s="34" t="str">
        <x:v>https://doi.org/10.1123/jab.2023-0114</x:v>
      </x:c>
      <x:c r="G2" s="34" t="str">
        <x:v>Digital-twin framing</x:v>
      </x:c>
      <x:c r="H2" s="34" t="str">
        <x:v>Human NMS health care</x:v>
      </x:c>
      <x:c r="I2" s="34" t="str">
        <x:v>Multimodal clinical and biomechanical data</x:v>
      </x:c>
      <x:c r="J2" s="34" t="str">
        <x:v>ISO-derived NMS digital-twin framework</x:v>
      </x:c>
      <x:c r="K2" s="34" t="str">
        <x:v>Framework supports patient-specific models</x:v>
      </x:c>
      <x:c r="L2" s="34" t="str">
        <x:v>Conceptual lifecycle</x:v>
      </x:c>
      <x:c r="M2" s="34" t="str">
        <x:v>Decision support proposed</x:v>
      </x:c>
      <x:c r="N2" s="34" t="str">
        <x:v>Framework/perspective</x:v>
      </x:c>
      <x:c r="O2" s="36" t="str">
        <x:v>explicit_digital_twin</x:v>
      </x:c>
      <x:c r="P2" s="36" t="str">
        <x:v>metadata_and_abstract_verified</x:v>
      </x:c>
      <x:c r="Q2" s="36" t="str">
        <x:v>core</x:v>
      </x:c>
      <x:c r="R2" s="34" t="str">
        <x:v>Best anchor definition for the map; separates components, connections, and clinical services.</x:v>
      </x:c>
    </x:row>
    <x:row r="3" ht="48" customHeight="1">
      <x:c r="A3" s="36" t="str">
        <x:v>DT002</x:v>
      </x:c>
      <x:c r="B3" s="36" t="str">
        <x:v>2025</x:v>
      </x:c>
      <x:c r="C3" s="34" t="str">
        <x:v>Diniz et al.</x:v>
      </x:c>
      <x:c r="D3" s="34" t="str">
        <x:v>Digital twin systems for musculoskeletal applications: A current concepts review</x:v>
      </x:c>
      <x:c r="E3" s="34" t="str">
        <x:v>Knee Surgery, Sports Traumatology, Arthroscopy</x:v>
      </x:c>
      <x:c r="F3" s="34" t="str">
        <x:v>https://doi.org/10.1002/ksa.12627</x:v>
      </x:c>
      <x:c r="G3" s="34" t="str">
        <x:v>Digital-twin framing</x:v>
      </x:c>
      <x:c r="H3" s="34" t="str">
        <x:v>Musculoskeletal/orthopaedic applications</x:v>
      </x:c>
      <x:c r="I3" s="34" t="str">
        <x:v>Wearables; imaging; clinical data</x:v>
      </x:c>
      <x:c r="J3" s="34" t="str">
        <x:v>Multibody dynamics; finite element; AI</x:v>
      </x:c>
      <x:c r="K3" s="34" t="str">
        <x:v>Patient-specific emphasized</x:v>
      </x:c>
      <x:c r="L3" s="34" t="str">
        <x:v>Review of real-time monitoring</x:v>
      </x:c>
      <x:c r="M3" s="34" t="str">
        <x:v>Feedback and decision support reviewed</x:v>
      </x:c>
      <x:c r="N3" s="34" t="str">
        <x:v>Current-concepts review</x:v>
      </x:c>
      <x:c r="O3" s="36" t="str">
        <x:v>review</x:v>
      </x:c>
      <x:c r="P3" s="36" t="str">
        <x:v>metadata_and_abstract_verified</x:v>
      </x:c>
      <x:c r="Q3" s="36" t="str">
        <x:v>core</x:v>
      </x:c>
      <x:c r="R3" s="34" t="str">
        <x:v>Useful breadth, but wider than neural control and NMS embodiment.</x:v>
      </x:c>
    </x:row>
    <x:row r="4" ht="48" customHeight="1">
      <x:c r="A4" s="36" t="str">
        <x:v>DT003</x:v>
      </x:c>
      <x:c r="B4" s="36" t="str">
        <x:v>2026</x:v>
      </x:c>
      <x:c r="C4" s="34" t="str">
        <x:v>Barricelli; Cerutti; Morzenti</x:v>
      </x:c>
      <x:c r="D4" s="34" t="str">
        <x:v>Human digital twins in sports and rehabilitation: a systematic review</x:v>
      </x:c>
      <x:c r="E4" s="34" t="str">
        <x:v>Behaviour &amp; Information Technology</x:v>
      </x:c>
      <x:c r="F4" s="34" t="str">
        <x:v>https://doi.org/10.1080/0144929X.2026.2660222</x:v>
      </x:c>
      <x:c r="G4" s="34" t="str">
        <x:v>Digital-twin framing</x:v>
      </x:c>
      <x:c r="H4" s="34" t="str">
        <x:v>Sports and rehabilitation</x:v>
      </x:c>
      <x:c r="I4" s="34" t="str">
        <x:v>Wearables; IMU; vision; robotic devices</x:v>
      </x:c>
      <x:c r="J4" s="34" t="str">
        <x:v>HDT systems and HCI taxonomy</x:v>
      </x:c>
      <x:c r="K4" s="34" t="str">
        <x:v>Mixed</x:v>
      </x:c>
      <x:c r="L4" s="34" t="str">
        <x:v>Mixed</x:v>
      </x:c>
      <x:c r="M4" s="34" t="str">
        <x:v>Monitoring and feedback</x:v>
      </x:c>
      <x:c r="N4" s="34" t="str">
        <x:v>Systematic review of 32 studies</x:v>
      </x:c>
      <x:c r="O4" s="36" t="str">
        <x:v>review</x:v>
      </x:c>
      <x:c r="P4" s="36" t="str">
        <x:v>full_text_sections_verified</x:v>
      </x:c>
      <x:c r="Q4" s="36" t="str">
        <x:v>core</x:v>
      </x:c>
      <x:c r="R4" s="34" t="str">
        <x:v>Shows fragmentation, small samples, limited user co-design, and opaque AI reporting.</x:v>
      </x:c>
    </x:row>
    <x:row r="5" ht="48" customHeight="1">
      <x:c r="A5" s="36" t="str">
        <x:v>DT004</x:v>
      </x:c>
      <x:c r="B5" s="36" t="str">
        <x:v>2024</x:v>
      </x:c>
      <x:c r="C5" s="34" t="str">
        <x:v>Lauer-Schmaltz; Cash; Hansen; Das</x:v>
      </x:c>
      <x:c r="D5" s="34" t="str">
        <x:v>Human Digital Twins in Rehabilitation: A Case Study on Exoskeleton and Serious-Game-Based Stroke Rehabilitation Using the ETHICA Methodology</x:v>
      </x:c>
      <x:c r="E5" s="34" t="str">
        <x:v>IEEE Access</x:v>
      </x:c>
      <x:c r="F5" s="34" t="str">
        <x:v>https://doi.org/10.1109/ACCESS.2024.3508029</x:v>
      </x:c>
      <x:c r="G5" s="34" t="str">
        <x:v>Rehabilitation digital twin</x:v>
      </x:c>
      <x:c r="H5" s="34" t="str">
        <x:v>Stroke rehabilitation</x:v>
      </x:c>
      <x:c r="I5" s="34" t="str">
        <x:v>Exoskeleton and serious-game interaction data</x:v>
      </x:c>
      <x:c r="J5" s="34" t="str">
        <x:v>Human digital twin design methodology</x:v>
      </x:c>
      <x:c r="K5" s="34" t="str">
        <x:v>Patient-centered case design</x:v>
      </x:c>
      <x:c r="L5" s="34" t="str">
        <x:v>Session/episodic</x:v>
      </x:c>
      <x:c r="M5" s="34" t="str">
        <x:v>Therapy interaction</x:v>
      </x:c>
      <x:c r="N5" s="34" t="str">
        <x:v>Case study</x:v>
      </x:c>
      <x:c r="O5" s="36" t="str">
        <x:v>explicit_digital_twin</x:v>
      </x:c>
      <x:c r="P5" s="36" t="str">
        <x:v>metadata_verified</x:v>
      </x:c>
      <x:c r="Q5" s="36" t="str">
        <x:v>adjacent</x:v>
      </x:c>
      <x:c r="R5" s="34" t="str">
        <x:v>Valuable for design process and ethics; limited NMS model depth.</x:v>
      </x:c>
    </x:row>
    <x:row r="6" ht="48" customHeight="1">
      <x:c r="A6" s="36" t="str">
        <x:v>DT005</x:v>
      </x:c>
      <x:c r="B6" s="36" t="str">
        <x:v>2023</x:v>
      </x:c>
      <x:c r="C6" s="34" t="str">
        <x:v>Falkowski; Osiak; Wilk</x:v>
      </x:c>
      <x:c r="D6" s="34" t="str">
        <x:v>Study on the Applicability of Digital Twins for Home Remote Motor Rehabilitation</x:v>
      </x:c>
      <x:c r="E6" s="34" t="str">
        <x:v>Sensors</x:v>
      </x:c>
      <x:c r="F6" s="34" t="str">
        <x:v>https://doi.org/10.3390/s23020911</x:v>
      </x:c>
      <x:c r="G6" s="34" t="str">
        <x:v>Rehabilitation digital twin</x:v>
      </x:c>
      <x:c r="H6" s="34" t="str">
        <x:v>Home motor rehabilitation</x:v>
      </x:c>
      <x:c r="I6" s="34" t="str">
        <x:v>Robot; VR; remote monitoring</x:v>
      </x:c>
      <x:c r="J6" s="34" t="str">
        <x:v>Rehabilitation-device digital twin concept</x:v>
      </x:c>
      <x:c r="K6" s="34" t="str">
        <x:v>Patient scenario</x:v>
      </x:c>
      <x:c r="L6" s="34" t="str">
        <x:v>Remote/episodic</x:v>
      </x:c>
      <x:c r="M6" s="34" t="str">
        <x:v>Remote robot control proposed</x:v>
      </x:c>
      <x:c r="N6" s="34" t="str">
        <x:v>Review plus concept</x:v>
      </x:c>
      <x:c r="O6" s="36" t="str">
        <x:v>explicit_digital_twin</x:v>
      </x:c>
      <x:c r="P6" s="36" t="str">
        <x:v>metadata_and_abstract_verified</x:v>
      </x:c>
      <x:c r="Q6" s="36" t="str">
        <x:v>adjacent</x:v>
      </x:c>
      <x:c r="R6" s="34" t="str">
        <x:v>Device-centered twin rather than a validated patient NMS twin.</x:v>
      </x:c>
    </x:row>
    <x:row r="7" ht="48" customHeight="1">
      <x:c r="A7" s="36" t="str">
        <x:v>DT006</x:v>
      </x:c>
      <x:c r="B7" s="36" t="str">
        <x:v>2026</x:v>
      </x:c>
      <x:c r="C7" s="34" t="str">
        <x:v>Feng; Peng</x:v>
      </x:c>
      <x:c r="D7" s="34" t="str">
        <x:v>Foundation Models Meet Musculoskeletal Digital Twins: Uncertainty-Aware Early Detection of Subclinical Cartilage Damage via Cross-Modal Transfer Learning</x:v>
      </x:c>
      <x:c r="E7" s="34" t="str">
        <x:v>IEEE Journal of Biomedical and Health Informatics</x:v>
      </x:c>
      <x:c r="F7" s="34" t="str">
        <x:v>https://doi.org/10.1109/JBHI.2026.3712750</x:v>
      </x:c>
      <x:c r="G7" s="34" t="str">
        <x:v>Tissue-scale digital twin</x:v>
      </x:c>
      <x:c r="H7" s="34" t="str">
        <x:v>Knee cartilage imaging</x:v>
      </x:c>
      <x:c r="I7" s="34" t="str">
        <x:v>MRI and cross-modal data</x:v>
      </x:c>
      <x:c r="J7" s="34" t="str">
        <x:v>Foundation model with uncertainty-aware transfer</x:v>
      </x:c>
      <x:c r="K7" s="34" t="str">
        <x:v>Patient imaging</x:v>
      </x:c>
      <x:c r="L7" s="34" t="str">
        <x:v>Offline</x:v>
      </x:c>
      <x:c r="M7" s="34" t="str">
        <x:v>Diagnostic decision support</x:v>
      </x:c>
      <x:c r="N7" s="34" t="str">
        <x:v>Retrospective model evaluation</x:v>
      </x:c>
      <x:c r="O7" s="36" t="str">
        <x:v>explicit_digital_twin</x:v>
      </x:c>
      <x:c r="P7" s="36" t="str">
        <x:v>metadata_and_abstract_verified</x:v>
      </x:c>
      <x:c r="Q7" s="36" t="str">
        <x:v>watch</x:v>
      </x:c>
      <x:c r="R7" s="34" t="str">
        <x:v>Important JBHI bridge; tissue diagnosis, not neural-control/closed-loop NMS.</x:v>
      </x:c>
    </x:row>
    <x:row r="8" ht="48" customHeight="1">
      <x:c r="A8" s="36" t="str">
        <x:v>NMS001</x:v>
      </x:c>
      <x:c r="B8" s="36" t="str">
        <x:v>2004</x:v>
      </x:c>
      <x:c r="C8" s="34" t="str">
        <x:v>Buchanan; Lloyd; Manal; Besier</x:v>
      </x:c>
      <x:c r="D8" s="34" t="str">
        <x:v>Neuromusculoskeletal modeling: estimation of muscle forces and joint moments and movements from measurements of neural command</x:v>
      </x:c>
      <x:c r="E8" s="34" t="str">
        <x:v>Journal of Applied Biomechanics</x:v>
      </x:c>
      <x:c r="F8" s="34" t="str">
        <x:v>https://doi.org/10.1123/jab.20.4.367</x:v>
      </x:c>
      <x:c r="G8" s="34" t="str">
        <x:v>NMS modeling foundations</x:v>
      </x:c>
      <x:c r="H8" s="34" t="str">
        <x:v>Human movement</x:v>
      </x:c>
      <x:c r="I8" s="34" t="str">
        <x:v>EMG/neural command</x:v>
      </x:c>
      <x:c r="J8" s="34" t="str">
        <x:v>Forward EMG-driven NMS model</x:v>
      </x:c>
      <x:c r="K8" s="34" t="str">
        <x:v>Subject calibration discussed</x:v>
      </x:c>
      <x:c r="L8" s="34" t="str">
        <x:v>Offline</x:v>
      </x:c>
      <x:c r="M8" s="34" t="str">
        <x:v>None</x:v>
      </x:c>
      <x:c r="N8" s="34" t="str">
        <x:v>Method review and examples</x:v>
      </x:c>
      <x:c r="O8" s="36" t="str">
        <x:v>twin_enabling</x:v>
      </x:c>
      <x:c r="P8" s="36" t="str">
        <x:v>metadata_and_abstract_verified</x:v>
      </x:c>
      <x:c r="Q8" s="36" t="str">
        <x:v>core</x:v>
      </x:c>
      <x:c r="R8" s="34" t="str">
        <x:v>Seminal pre-window paper retained for the neural-command-to-motion chain.</x:v>
      </x:c>
    </x:row>
    <x:row r="9" ht="48" customHeight="1">
      <x:c r="A9" s="36" t="str">
        <x:v>NMS002</x:v>
      </x:c>
      <x:c r="B9" s="36" t="str">
        <x:v>2018</x:v>
      </x:c>
      <x:c r="C9" s="34" t="str">
        <x:v>Seth et al.</x:v>
      </x:c>
      <x:c r="D9" s="34" t="str">
        <x:v>OpenSim: Simulating musculoskeletal dynamics and neuromuscular control to study human and animal movement</x:v>
      </x:c>
      <x:c r="E9" s="34" t="str">
        <x:v>PLOS Computational Biology</x:v>
      </x:c>
      <x:c r="F9" s="34" t="str">
        <x:v>https://doi.org/10.1371/journal.pcbi.1006223</x:v>
      </x:c>
      <x:c r="G9" s="34" t="str">
        <x:v>NMS modeling foundations</x:v>
      </x:c>
      <x:c r="H9" s="34" t="str">
        <x:v>Human and animal movement</x:v>
      </x:c>
      <x:c r="I9" s="34" t="str">
        <x:v>Kinematics; kinetics; EMG; model inputs</x:v>
      </x:c>
      <x:c r="J9" s="34" t="str">
        <x:v>Open-source musculoskeletal simulation</x:v>
      </x:c>
      <x:c r="K9" s="34" t="str">
        <x:v>Scaling and custom models</x:v>
      </x:c>
      <x:c r="L9" s="34" t="str">
        <x:v>Offline</x:v>
      </x:c>
      <x:c r="M9" s="34" t="str">
        <x:v>None</x:v>
      </x:c>
      <x:c r="N9" s="34" t="str">
        <x:v>Software and multi-study validation</x:v>
      </x:c>
      <x:c r="O9" s="36" t="str">
        <x:v>twin_enabling</x:v>
      </x:c>
      <x:c r="P9" s="36" t="str">
        <x:v>metadata_verified</x:v>
      </x:c>
      <x:c r="Q9" s="36" t="str">
        <x:v>core</x:v>
      </x:c>
      <x:c r="R9" s="34" t="str">
        <x:v>Core infrastructure; not a digital twin by itself.</x:v>
      </x:c>
    </x:row>
    <x:row r="10" ht="48" customHeight="1">
      <x:c r="A10" s="36" t="str">
        <x:v>NMS003</x:v>
      </x:c>
      <x:c r="B10" s="36" t="str">
        <x:v>2015</x:v>
      </x:c>
      <x:c r="C10" s="34" t="str">
        <x:v>Pizzolato; Lloyd; Sartori; Ceseracciu; Besier; Fregly; Reggiani</x:v>
      </x:c>
      <x:c r="D10" s="34" t="str">
        <x:v>CEINMS: A toolbox to investigate the influence of different neural control solutions on the prediction of muscle excitation and joint moments during dynamic motor tasks</x:v>
      </x:c>
      <x:c r="E10" s="34" t="str">
        <x:v>Journal of Biomechanics</x:v>
      </x:c>
      <x:c r="F10" s="34" t="str">
        <x:v>https://doi.org/10.1016/j.jbiomech.2015.09.021</x:v>
      </x:c>
      <x:c r="G10" s="34" t="str">
        <x:v>Personalized NMS modeling</x:v>
      </x:c>
      <x:c r="H10" s="34" t="str">
        <x:v>Dynamic human movement</x:v>
      </x:c>
      <x:c r="I10" s="34" t="str">
        <x:v>EMG; kinematics; kinetics</x:v>
      </x:c>
      <x:c r="J10" s="34" t="str">
        <x:v>Calibrated EMG-informed NMS modeling</x:v>
      </x:c>
      <x:c r="K10" s="34" t="str">
        <x:v>Subject-specific calibration</x:v>
      </x:c>
      <x:c r="L10" s="34" t="str">
        <x:v>Offline</x:v>
      </x:c>
      <x:c r="M10" s="34" t="str">
        <x:v>None</x:v>
      </x:c>
      <x:c r="N10" s="34" t="str">
        <x:v>Toolbox demonstrations</x:v>
      </x:c>
      <x:c r="O10" s="36" t="str">
        <x:v>twin_enabling</x:v>
      </x:c>
      <x:c r="P10" s="36" t="str">
        <x:v>metadata_and_abstract_verified</x:v>
      </x:c>
      <x:c r="Q10" s="36" t="str">
        <x:v>core</x:v>
      </x:c>
      <x:c r="R10" s="34" t="str">
        <x:v>Central bridge among Pizzolato, Sartori, Lloyd, Besier, and Fregly lines.</x:v>
      </x:c>
    </x:row>
    <x:row r="11" ht="48" customHeight="1">
      <x:c r="A11" s="36" t="str">
        <x:v>NMS004</x:v>
      </x:c>
      <x:c r="B11" s="36" t="str">
        <x:v>2014</x:v>
      </x:c>
      <x:c r="C11" s="34" t="str">
        <x:v>Sartori; Farina; Lloyd</x:v>
      </x:c>
      <x:c r="D11" s="34" t="str">
        <x:v>Hybrid neuromusculoskeletal modeling to best track joint moments using a balance between muscle excitations derived from electromyograms and optimization</x:v>
      </x:c>
      <x:c r="E11" s="34" t="str">
        <x:v>Journal of Biomechanics</x:v>
      </x:c>
      <x:c r="F11" s="34" t="str">
        <x:v>https://doi.org/10.1016/j.jbiomech.2014.10.009</x:v>
      </x:c>
      <x:c r="G11" s="34" t="str">
        <x:v>Neural control and NMS inference</x:v>
      </x:c>
      <x:c r="H11" s="34" t="str">
        <x:v>Human lower-limb movement</x:v>
      </x:c>
      <x:c r="I11" s="34" t="str">
        <x:v>EMG; kinematics; kinetics</x:v>
      </x:c>
      <x:c r="J11" s="34" t="str">
        <x:v>Hybrid EMG-informed optimization</x:v>
      </x:c>
      <x:c r="K11" s="34" t="str">
        <x:v>Subject-specific neural excitation</x:v>
      </x:c>
      <x:c r="L11" s="34" t="str">
        <x:v>Offline</x:v>
      </x:c>
      <x:c r="M11" s="34" t="str">
        <x:v>None</x:v>
      </x:c>
      <x:c r="N11" s="34" t="str">
        <x:v>Experimental torque tracking</x:v>
      </x:c>
      <x:c r="O11" s="36" t="str">
        <x:v>twin_enabling</x:v>
      </x:c>
      <x:c r="P11" s="36" t="str">
        <x:v>metadata_and_abstract_verified</x:v>
      </x:c>
      <x:c r="Q11" s="36" t="str">
        <x:v>core</x:v>
      </x:c>
      <x:c r="R11" s="34" t="str">
        <x:v>Seminal pre-window bridge between measured neural drive and optimization.</x:v>
      </x:c>
    </x:row>
    <x:row r="12" ht="48" customHeight="1">
      <x:c r="A12" s="36" t="str">
        <x:v>NMS005</x:v>
      </x:c>
      <x:c r="B12" s="36" t="str">
        <x:v>2018</x:v>
      </x:c>
      <x:c r="C12" s="34" t="str">
        <x:v>Durandau; Farina; Sartori</x:v>
      </x:c>
      <x:c r="D12" s="34" t="str">
        <x:v>Robust Real-Time Musculoskeletal Modeling Driven by Electromyograms</x:v>
      </x:c>
      <x:c r="E12" s="34" t="str">
        <x:v>IEEE Transactions on Biomedical Engineering</x:v>
      </x:c>
      <x:c r="F12" s="34" t="str">
        <x:v>https://doi.org/10.1109/TBME.2017.2704085</x:v>
      </x:c>
      <x:c r="G12" s="34" t="str">
        <x:v>Real-time NMS modeling</x:v>
      </x:c>
      <x:c r="H12" s="34" t="str">
        <x:v>Intact human lower limb</x:v>
      </x:c>
      <x:c r="I12" s="34" t="str">
        <x:v>Surface EMG; joint kinematics</x:v>
      </x:c>
      <x:c r="J12" s="34" t="str">
        <x:v>Real-time EMG-driven musculoskeletal model</x:v>
      </x:c>
      <x:c r="K12" s="34" t="str">
        <x:v>Subject-specific calibration</x:v>
      </x:c>
      <x:c r="L12" s="34" t="str">
        <x:v>real_time</x:v>
      </x:c>
      <x:c r="M12" s="34" t="str">
        <x:v>Model output suitable for control</x:v>
      </x:c>
      <x:c r="N12" s="34" t="str">
        <x:v>Healthy-subject experiments</x:v>
      </x:c>
      <x:c r="O12" s="36" t="str">
        <x:v>twin_enabling</x:v>
      </x:c>
      <x:c r="P12" s="36" t="str">
        <x:v>metadata_and_abstract_verified</x:v>
      </x:c>
      <x:c r="Q12" s="36" t="str">
        <x:v>core</x:v>
      </x:c>
      <x:c r="R12" s="34" t="str">
        <x:v>Key real-time estimator in the Durandau-Sartori trajectory.</x:v>
      </x:c>
    </x:row>
    <x:row r="13" ht="48" customHeight="1">
      <x:c r="A13" s="36" t="str">
        <x:v>NMS006</x:v>
      </x:c>
      <x:c r="B13" s="36" t="str">
        <x:v>2017</x:v>
      </x:c>
      <x:c r="C13" s="34" t="str">
        <x:v>Valente et al.</x:v>
      </x:c>
      <x:c r="D13" s="34" t="str">
        <x:v>nmsBuilder: Freeware to create subject-specific musculoskeletal models for OpenSim</x:v>
      </x:c>
      <x:c r="E13" s="34" t="str">
        <x:v>Computer Methods and Programs in Biomedicine</x:v>
      </x:c>
      <x:c r="F13" s="34" t="str">
        <x:v>https://doi.org/10.1016/j.cmpb.2017.09.012</x:v>
      </x:c>
      <x:c r="G13" s="34" t="str">
        <x:v>Subject-specific modeling</x:v>
      </x:c>
      <x:c r="H13" s="34" t="str">
        <x:v>Image-based human models</x:v>
      </x:c>
      <x:c r="I13" s="34" t="str">
        <x:v>Medical imaging; anatomical landmarks</x:v>
      </x:c>
      <x:c r="J13" s="34" t="str">
        <x:v>OpenSim subject-specific model builder</x:v>
      </x:c>
      <x:c r="K13" s="34" t="str">
        <x:v>Geometry-specific</x:v>
      </x:c>
      <x:c r="L13" s="34" t="str">
        <x:v>Offline</x:v>
      </x:c>
      <x:c r="M13" s="34" t="str">
        <x:v>None</x:v>
      </x:c>
      <x:c r="N13" s="34" t="str">
        <x:v>Software workflow</x:v>
      </x:c>
      <x:c r="O13" s="36" t="str">
        <x:v>twin_enabling</x:v>
      </x:c>
      <x:c r="P13" s="36" t="str">
        <x:v>metadata_and_abstract_verified</x:v>
      </x:c>
      <x:c r="Q13" s="36" t="str">
        <x:v>adjacent</x:v>
      </x:c>
      <x:c r="R13" s="34" t="str">
        <x:v>Addresses costly model construction and standardization.</x:v>
      </x:c>
    </x:row>
    <x:row r="14" ht="48" customHeight="1">
      <x:c r="A14" s="36" t="str">
        <x:v>NMS007</x:v>
      </x:c>
      <x:c r="B14" s="36" t="str">
        <x:v>2022</x:v>
      </x:c>
      <x:c r="C14" s="34" t="str">
        <x:v>Akhundov et al.</x:v>
      </x:c>
      <x:c r="D14" s="34" t="str">
        <x:v>Is subject-specific musculoskeletal modelling worth the extra effort or is generic modelling worth the shortcut?</x:v>
      </x:c>
      <x:c r="E14" s="34" t="str">
        <x:v>PLOS ONE</x:v>
      </x:c>
      <x:c r="F14" s="34" t="str">
        <x:v>https://doi.org/10.1371/journal.pone.0262936</x:v>
      </x:c>
      <x:c r="G14" s="34" t="str">
        <x:v>Subject-specific modeling</x:v>
      </x:c>
      <x:c r="H14" s="34" t="str">
        <x:v>Healthy athletes</x:v>
      </x:c>
      <x:c r="I14" s="34" t="str">
        <x:v>MRI; motion capture; force; EMG</x:v>
      </x:c>
      <x:c r="J14" s="34" t="str">
        <x:v>Generic versus MRI-derived NMS models</x:v>
      </x:c>
      <x:c r="K14" s="34" t="str">
        <x:v>Geometry and muscle strength</x:v>
      </x:c>
      <x:c r="L14" s="34" t="str">
        <x:v>Offline</x:v>
      </x:c>
      <x:c r="M14" s="34" t="str">
        <x:v>None</x:v>
      </x:c>
      <x:c r="N14" s="34" t="str">
        <x:v>Nine-subject experimental comparison</x:v>
      </x:c>
      <x:c r="O14" s="36" t="str">
        <x:v>twin_enabling</x:v>
      </x:c>
      <x:c r="P14" s="36" t="str">
        <x:v>full_text_sections_verified</x:v>
      </x:c>
      <x:c r="Q14" s="36" t="str">
        <x:v>core</x:v>
      </x:c>
      <x:c r="R14" s="34" t="str">
        <x:v>Shows generic scaling can miss physiologically and between-limb relevant differences.</x:v>
      </x:c>
    </x:row>
    <x:row r="15" ht="48" customHeight="1">
      <x:c r="A15" s="36" t="str">
        <x:v>NMS008</x:v>
      </x:c>
      <x:c r="B15" s="36" t="str">
        <x:v>2023</x:v>
      </x:c>
      <x:c r="C15" s="34" t="str">
        <x:v>Ao; Li; Shourijeh; Patten; Fregly</x:v>
      </x:c>
      <x:c r="D15" s="34" t="str">
        <x:v>EMG-Driven Musculoskeletal Model Calibration With Wrapping Surface Personalization</x:v>
      </x:c>
      <x:c r="E15" s="34" t="str">
        <x:v>IEEE Transactions on Neural Systems and Rehabilitation Engineering</x:v>
      </x:c>
      <x:c r="F15" s="34" t="str">
        <x:v>https://doi.org/10.1109/TNSRE.2023.3323516</x:v>
      </x:c>
      <x:c r="G15" s="34" t="str">
        <x:v>Subject-specific modeling</x:v>
      </x:c>
      <x:c r="H15" s="34" t="str">
        <x:v>Upper-limb/clinical modeling</x:v>
      </x:c>
      <x:c r="I15" s="34" t="str">
        <x:v>EMG; motion and torque data</x:v>
      </x:c>
      <x:c r="J15" s="34" t="str">
        <x:v>EMG-driven calibration with personalized wrapping surfaces</x:v>
      </x:c>
      <x:c r="K15" s="34" t="str">
        <x:v>Geometry and muscle paths</x:v>
      </x:c>
      <x:c r="L15" s="34" t="str">
        <x:v>Offline</x:v>
      </x:c>
      <x:c r="M15" s="34" t="str">
        <x:v>None</x:v>
      </x:c>
      <x:c r="N15" s="34" t="str">
        <x:v>Experimental calibration study</x:v>
      </x:c>
      <x:c r="O15" s="36" t="str">
        <x:v>twin_enabling</x:v>
      </x:c>
      <x:c r="P15" s="36" t="str">
        <x:v>metadata_and_abstract_verified</x:v>
      </x:c>
      <x:c r="Q15" s="36" t="str">
        <x:v>core</x:v>
      </x:c>
      <x:c r="R15" s="34" t="str">
        <x:v>Illustrates geometry-calibration coupling and parameter sensitivity.</x:v>
      </x:c>
    </x:row>
    <x:row r="16" ht="48" customHeight="1">
      <x:c r="A16" s="36" t="str">
        <x:v>NMS009</x:v>
      </x:c>
      <x:c r="B16" s="36" t="str">
        <x:v>2023</x:v>
      </x:c>
      <x:c r="C16" s="34" t="str">
        <x:v>Savage; Saxby; Lloyd; Pizzolato</x:v>
      </x:c>
      <x:c r="D16" s="34" t="str">
        <x:v>Neuromusculoskeletal model calibration accounts for differences in electromechanical delay and maximum isometric muscle force</x:v>
      </x:c>
      <x:c r="E16" s="34" t="str">
        <x:v>Journal of Biomechanics</x:v>
      </x:c>
      <x:c r="F16" s="34" t="str">
        <x:v>https://doi.org/10.1016/j.jbiomech.2023.111503</x:v>
      </x:c>
      <x:c r="G16" s="34" t="str">
        <x:v>Subject-specific modeling</x:v>
      </x:c>
      <x:c r="H16" s="34" t="str">
        <x:v>Healthy walking</x:v>
      </x:c>
      <x:c r="I16" s="34" t="str">
        <x:v>EMG; kinematics; kinetics</x:v>
      </x:c>
      <x:c r="J16" s="34" t="str">
        <x:v>EMG-informed NMS calibration</x:v>
      </x:c>
      <x:c r="K16" s="34" t="str">
        <x:v>EMD and muscle strength</x:v>
      </x:c>
      <x:c r="L16" s="34" t="str">
        <x:v>Offline</x:v>
      </x:c>
      <x:c r="M16" s="34" t="str">
        <x:v>None</x:v>
      </x:c>
      <x:c r="N16" s="34" t="str">
        <x:v>Twenty-eight-participant sensitivity study</x:v>
      </x:c>
      <x:c r="O16" s="36" t="str">
        <x:v>twin_enabling</x:v>
      </x:c>
      <x:c r="P16" s="36" t="str">
        <x:v>metadata_and_abstract_verified</x:v>
      </x:c>
      <x:c r="Q16" s="36" t="str">
        <x:v>core</x:v>
      </x:c>
      <x:c r="R16" s="34" t="str">
        <x:v>Important for identifiability and calibration robustness.</x:v>
      </x:c>
    </x:row>
    <x:row r="17" ht="48" customHeight="1">
      <x:c r="A17" s="36" t="str">
        <x:v>NMS010</x:v>
      </x:c>
      <x:c r="B17" s="36" t="str">
        <x:v>2024</x:v>
      </x:c>
      <x:c r="C17" s="34" t="str">
        <x:v>Berman; Lee; Yin; Huang</x:v>
      </x:c>
      <x:c r="D17" s="34" t="str">
        <x:v>An Efficient Framework for Personalizing EMG-Driven Musculoskeletal Models Based on Reinforcement Learning</x:v>
      </x:c>
      <x:c r="E17" s="34" t="str">
        <x:v>IEEE Transactions on Neural Systems and Rehabilitation Engineering</x:v>
      </x:c>
      <x:c r="F17" s="34" t="str">
        <x:v>https://doi.org/10.1109/TNSRE.2024.3483150</x:v>
      </x:c>
      <x:c r="G17" s="34" t="str">
        <x:v>Adaptive personalization</x:v>
      </x:c>
      <x:c r="H17" s="34" t="str">
        <x:v>Upper-limb prosthetic interface</x:v>
      </x:c>
      <x:c r="I17" s="34" t="str">
        <x:v>EMG; limb kinematics</x:v>
      </x:c>
      <x:c r="J17" s="34" t="str">
        <x:v>RL-based rapid model personalization</x:v>
      </x:c>
      <x:c r="K17" s="34" t="str">
        <x:v>User-specific</x:v>
      </x:c>
      <x:c r="L17" s="34" t="str">
        <x:v>Fast episodic calibration</x:v>
      </x:c>
      <x:c r="M17" s="34" t="str">
        <x:v>Prosthetic-control interface target</x:v>
      </x:c>
      <x:c r="N17" s="34" t="str">
        <x:v>Human experimental evaluation</x:v>
      </x:c>
      <x:c r="O17" s="36" t="str">
        <x:v>twin_enabling</x:v>
      </x:c>
      <x:c r="P17" s="36" t="str">
        <x:v>metadata_and_abstract_verified</x:v>
      </x:c>
      <x:c r="Q17" s="36" t="str">
        <x:v>core</x:v>
      </x:c>
      <x:c r="R17" s="34" t="str">
        <x:v>High-priority TNSRE bridge between mechanistic model and efficient adaptation.</x:v>
      </x:c>
    </x:row>
    <x:row r="18" ht="48" customHeight="1">
      <x:c r="A18" s="36" t="str">
        <x:v>NMS011</x:v>
      </x:c>
      <x:c r="B18" s="36" t="str">
        <x:v>2025</x:v>
      </x:c>
      <x:c r="C18" s="34" t="str">
        <x:v>Hammond et al.</x:v>
      </x:c>
      <x:c r="D18" s="34" t="str">
        <x:v>The Neuromusculoskeletal Modeling Pipeline: MATLAB-based model personalization and treatment optimization functionality for OpenSim</x:v>
      </x:c>
      <x:c r="E18" s="34" t="str">
        <x:v>Journal of NeuroEngineering and Rehabilitation</x:v>
      </x:c>
      <x:c r="F18" s="34" t="str">
        <x:v>https://doi.org/10.1186/s12984-025-01629-5</x:v>
      </x:c>
      <x:c r="G18" s="34" t="str">
        <x:v>Treatment optimization</x:v>
      </x:c>
      <x:c r="H18" s="34" t="str">
        <x:v>Post-stroke and general NMS impairment</x:v>
      </x:c>
      <x:c r="I18" s="34" t="str">
        <x:v>Video motion capture; GRF; EMG</x:v>
      </x:c>
      <x:c r="J18" s="34" t="str">
        <x:v>OpenSim personalization plus direct-collocation treatment optimization</x:v>
      </x:c>
      <x:c r="K18" s="34" t="str">
        <x:v>Joint; muscle-tendon; neural; contact</x:v>
      </x:c>
      <x:c r="L18" s="34" t="str">
        <x:v>Offline/episodic</x:v>
      </x:c>
      <x:c r="M18" s="34" t="str">
        <x:v>Counterfactual treatment planning</x:v>
      </x:c>
      <x:c r="N18" s="34" t="str">
        <x:v>Software plus post-stroke use case</x:v>
      </x:c>
      <x:c r="O18" s="36" t="str">
        <x:v>twin_enabling</x:v>
      </x:c>
      <x:c r="P18" s="36" t="str">
        <x:v>metadata_and_abstract_verified</x:v>
      </x:c>
      <x:c r="Q18" s="36" t="str">
        <x:v>core</x:v>
      </x:c>
      <x:c r="R18" s="34" t="str">
        <x:v>Strong patient-specific predictive-twin substrate, but clinical outcome validation remains future work.</x:v>
      </x:c>
    </x:row>
    <x:row r="19" ht="48" customHeight="1">
      <x:c r="A19" s="36" t="str">
        <x:v>NMS012</x:v>
      </x:c>
      <x:c r="B19" s="36" t="str">
        <x:v>2024</x:v>
      </x:c>
      <x:c r="C19" s="34" t="str">
        <x:v>Rabbi; Davico; Lloyd; Carty; Diamond; Pizzolato</x:v>
      </x:c>
      <x:c r="D19" s="34" t="str">
        <x:v>Muscle synergy-informed neuromusculoskeletal modelling to estimate knee contact forces in children with cerebral palsy</x:v>
      </x:c>
      <x:c r="E19" s="34" t="str">
        <x:v>Biomechanics and Modeling in Mechanobiology</x:v>
      </x:c>
      <x:c r="F19" s="34" t="str">
        <x:v>https://doi.org/10.1007/s10237-024-01825-7</x:v>
      </x:c>
      <x:c r="G19" s="34" t="str">
        <x:v>Patient-specific neural control</x:v>
      </x:c>
      <x:c r="H19" s="34" t="str">
        <x:v>Children with cerebral palsy</x:v>
      </x:c>
      <x:c r="I19" s="34" t="str">
        <x:v>EMG; motion; external forces</x:v>
      </x:c>
      <x:c r="J19" s="34" t="str">
        <x:v>Muscle-synergy-informed NMS model</x:v>
      </x:c>
      <x:c r="K19" s="34" t="str">
        <x:v>Patient-specific synergies</x:v>
      </x:c>
      <x:c r="L19" s="34" t="str">
        <x:v>Offline</x:v>
      </x:c>
      <x:c r="M19" s="34" t="str">
        <x:v>Decision support potential</x:v>
      </x:c>
      <x:c r="N19" s="34" t="str">
        <x:v>Clinical cohort modeling</x:v>
      </x:c>
      <x:c r="O19" s="36" t="str">
        <x:v>twin_enabling</x:v>
      </x:c>
      <x:c r="P19" s="36" t="str">
        <x:v>metadata_and_abstract_verified</x:v>
      </x:c>
      <x:c r="Q19" s="36" t="str">
        <x:v>core</x:v>
      </x:c>
      <x:c r="R19" s="34" t="str">
        <x:v>Direct neural-control personalization in a pathological population.</x:v>
      </x:c>
    </x:row>
    <x:row r="20" ht="48" customHeight="1">
      <x:c r="A20" s="36" t="str">
        <x:v>NMS013</x:v>
      </x:c>
      <x:c r="B20" s="36" t="str">
        <x:v>2022</x:v>
      </x:c>
      <x:c r="C20" s="34" t="str">
        <x:v>Esrafilian et al.</x:v>
      </x:c>
      <x:c r="D20" s="34" t="str">
        <x:v>Toward Tailored Rehabilitation by Implementation of a Novel Musculoskeletal Finite Element Analysis Pipeline</x:v>
      </x:c>
      <x:c r="E20" s="34" t="str">
        <x:v>IEEE Transactions on Neural Systems and Rehabilitation Engineering</x:v>
      </x:c>
      <x:c r="F20" s="34" t="str">
        <x:v>https://doi.org/10.1109/TNSRE.2022.3159685</x:v>
      </x:c>
      <x:c r="G20" s="34" t="str">
        <x:v>Multiscale tissue modeling</x:v>
      </x:c>
      <x:c r="H20" s="34" t="str">
        <x:v>Knee rehabilitation</x:v>
      </x:c>
      <x:c r="I20" s="34" t="str">
        <x:v>Motion; force; imaging</x:v>
      </x:c>
      <x:c r="J20" s="34" t="str">
        <x:v>Musculoskeletal-to-finite-element pipeline</x:v>
      </x:c>
      <x:c r="K20" s="34" t="str">
        <x:v>Subject-specific knee mechanics</x:v>
      </x:c>
      <x:c r="L20" s="34" t="str">
        <x:v>Offline</x:v>
      </x:c>
      <x:c r="M20" s="34" t="str">
        <x:v>Rehabilitation planning</x:v>
      </x:c>
      <x:c r="N20" s="34" t="str">
        <x:v>Human biomechanical validation</x:v>
      </x:c>
      <x:c r="O20" s="36" t="str">
        <x:v>twin_enabling</x:v>
      </x:c>
      <x:c r="P20" s="36" t="str">
        <x:v>metadata_and_abstract_verified</x:v>
      </x:c>
      <x:c r="Q20" s="36" t="str">
        <x:v>core</x:v>
      </x:c>
      <x:c r="R20" s="34" t="str">
        <x:v>Connects whole-body loading to tissue-scale outcomes.</x:v>
      </x:c>
    </x:row>
    <x:row r="21" ht="48" customHeight="1">
      <x:c r="A21" s="36" t="str">
        <x:v>NMS014</x:v>
      </x:c>
      <x:c r="B21" s="36" t="str">
        <x:v>2020</x:v>
      </x:c>
      <x:c r="C21" s="34" t="str">
        <x:v>Pizzolato et al.</x:v>
      </x:c>
      <x:c r="D21" s="34" t="str">
        <x:v>Targeted Achilles Tendon Training and Rehabilitation Using Personalized and Real-Time Multiscale Models of the Neuromusculoskeletal System</x:v>
      </x:c>
      <x:c r="E21" s="34" t="str">
        <x:v>Frontiers in Bioengineering and Biotechnology</x:v>
      </x:c>
      <x:c r="F21" s="34" t="str">
        <x:v>https://doi.org/10.3389/fbioe.2020.00878</x:v>
      </x:c>
      <x:c r="G21" s="34" t="str">
        <x:v>Multiscale tissue modeling</x:v>
      </x:c>
      <x:c r="H21" s="34" t="str">
        <x:v>Achilles tendon training</x:v>
      </x:c>
      <x:c r="I21" s="34" t="str">
        <x:v>Motion; force; subject anatomy</x:v>
      </x:c>
      <x:c r="J21" s="34" t="str">
        <x:v>Real-time multiscale NMS and tendon strain model</x:v>
      </x:c>
      <x:c r="K21" s="34" t="str">
        <x:v>Geometry; material; activation; movement</x:v>
      </x:c>
      <x:c r="L21" s="34" t="str">
        <x:v>real_time</x:v>
      </x:c>
      <x:c r="M21" s="34" t="str">
        <x:v>Smartphone feedback</x:v>
      </x:c>
      <x:c r="N21" s="34" t="str">
        <x:v>Single-subject proof of concept</x:v>
      </x:c>
      <x:c r="O21" s="36" t="str">
        <x:v>twin_enabling</x:v>
      </x:c>
      <x:c r="P21" s="36" t="str">
        <x:v>metadata_and_abstract_verified</x:v>
      </x:c>
      <x:c r="Q21" s="36" t="str">
        <x:v>core</x:v>
      </x:c>
      <x:c r="R21" s="34" t="str">
        <x:v>Pizzolato line's clearest personalized real-time multiscale prototype.</x:v>
      </x:c>
    </x:row>
    <x:row r="22" ht="48" customHeight="1">
      <x:c r="A22" s="36" t="str">
        <x:v>NMS015</x:v>
      </x:c>
      <x:c r="B22" s="36" t="str">
        <x:v>2025</x:v>
      </x:c>
      <x:c r="C22" s="34" t="str">
        <x:v>Hambly; Worsey; Lloyd; Pizzolato</x:v>
      </x:c>
      <x:c r="D22" s="34" t="str">
        <x:v>Real-Time Continuous Calibration of an EMG-Informed Neuromusculoskeletal Model for Assistive Exoskeleton Control</x:v>
      </x:c>
      <x:c r="E22" s="34" t="str">
        <x:v>IEEE International Conference on Rehabilitation Robotics</x:v>
      </x:c>
      <x:c r="F22" s="34" t="str">
        <x:v>https://doi.org/10.1109/ICORR66766.2025.11062981</x:v>
      </x:c>
      <x:c r="G22" s="34" t="str">
        <x:v>Adaptive personalization</x:v>
      </x:c>
      <x:c r="H22" s="34" t="str">
        <x:v>Upper-limb exoskeleton</x:v>
      </x:c>
      <x:c r="I22" s="34" t="str">
        <x:v>EMG; joint motion/torque</x:v>
      </x:c>
      <x:c r="J22" s="34" t="str">
        <x:v>Autodifferentiable NMS model with sliding-window calibration</x:v>
      </x:c>
      <x:c r="K22" s="34" t="str">
        <x:v>Continuous online calibration</x:v>
      </x:c>
      <x:c r="L22" s="34" t="str">
        <x:v>continuous</x:v>
      </x:c>
      <x:c r="M22" s="34" t="str">
        <x:v>assistive_control</x:v>
      </x:c>
      <x:c r="N22" s="34" t="str">
        <x:v>Human proof of concept</x:v>
      </x:c>
      <x:c r="O22" s="36" t="str">
        <x:v>twin_enabling</x:v>
      </x:c>
      <x:c r="P22" s="36" t="str">
        <x:v>metadata_and_abstract_verified</x:v>
      </x:c>
      <x:c r="Q22" s="36" t="str">
        <x:v>core</x:v>
      </x:c>
      <x:c r="R22" s="34" t="str">
        <x:v>Moves from pre-calibration toward continuously synchronized NMS twins.</x:v>
      </x:c>
    </x:row>
    <x:row r="23" ht="48" customHeight="1">
      <x:c r="A23" s="36" t="str">
        <x:v>NMS016</x:v>
      </x:c>
      <x:c r="B23" s="36" t="str">
        <x:v>2025</x:v>
      </x:c>
      <x:c r="C23" s="34" t="str">
        <x:v>Jiang; Lin; Wang; Hsu; Chan</x:v>
      </x:c>
      <x:c r="D23" s="34" t="str">
        <x:v>Personalized Parameter Setting in Musculoskeletal Models Through Multitrajectory Optimization</x:v>
      </x:c>
      <x:c r="E23" s="34" t="str">
        <x:v>Journal of Biomechanical Engineering</x:v>
      </x:c>
      <x:c r="F23" s="34" t="str">
        <x:v>https://doi.org/10.1115/1.4068524</x:v>
      </x:c>
      <x:c r="G23" s="34" t="str">
        <x:v>Model identifiability</x:v>
      </x:c>
      <x:c r="H23" s="34" t="str">
        <x:v>Biceps curl tasks</x:v>
      </x:c>
      <x:c r="I23" s="34" t="str">
        <x:v>Joint angle and activation-related data</x:v>
      </x:c>
      <x:c r="J23" s="34" t="str">
        <x:v>Global plus local multitrajectory parameter optimization</x:v>
      </x:c>
      <x:c r="K23" s="34" t="str">
        <x:v>Subject parameters</x:v>
      </x:c>
      <x:c r="L23" s="34" t="str">
        <x:v>Offline</x:v>
      </x:c>
      <x:c r="M23" s="34" t="str">
        <x:v>None</x:v>
      </x:c>
      <x:c r="N23" s="34" t="str">
        <x:v>Cross-task validation</x:v>
      </x:c>
      <x:c r="O23" s="36" t="str">
        <x:v>twin_enabling</x:v>
      </x:c>
      <x:c r="P23" s="36" t="str">
        <x:v>metadata_and_abstract_verified</x:v>
      </x:c>
      <x:c r="Q23" s="36" t="str">
        <x:v>adjacent</x:v>
      </x:c>
      <x:c r="R23" s="34" t="str">
        <x:v>Directly targets compensating parameters and identifiability.</x:v>
      </x:c>
    </x:row>
    <x:row r="24" ht="48" customHeight="1">
      <x:c r="A24" s="36" t="str">
        <x:v>NMS017</x:v>
      </x:c>
      <x:c r="B24" s="36" t="str">
        <x:v>2026</x:v>
      </x:c>
      <x:c r="C24" s="34" t="str">
        <x:v>Diaz et al.</x:v>
      </x:c>
      <x:c r="D24" s="34" t="str">
        <x:v>Benchmarking Neural Network Personalized Musculoskeletal Hand Models Against Current Personalization Standards Using Experimental Magnetic Resonance Imaging and Fine-Wire Electromyography</x:v>
      </x:c>
      <x:c r="E24" s="34" t="str">
        <x:v>IEEE Transactions on Neural Systems and Rehabilitation Engineering</x:v>
      </x:c>
      <x:c r="F24" s="34" t="str">
        <x:v>https://doi.org/10.1109/TNSRE.2026.3711799</x:v>
      </x:c>
      <x:c r="G24" s="34" t="str">
        <x:v>Learned personalization</x:v>
      </x:c>
      <x:c r="H24" s="34" t="str">
        <x:v>Human hand</x:v>
      </x:c>
      <x:c r="I24" s="34" t="str">
        <x:v>MRI; fine-wire EMG</x:v>
      </x:c>
      <x:c r="J24" s="34" t="str">
        <x:v>Neural-network personalized hand model</x:v>
      </x:c>
      <x:c r="K24" s="34" t="str">
        <x:v>Individual anatomy and activation</x:v>
      </x:c>
      <x:c r="L24" s="34" t="str">
        <x:v>Offline</x:v>
      </x:c>
      <x:c r="M24" s="34" t="str">
        <x:v>None</x:v>
      </x:c>
      <x:c r="N24" s="34" t="str">
        <x:v>Experimental benchmark</x:v>
      </x:c>
      <x:c r="O24" s="36" t="str">
        <x:v>twin_enabling</x:v>
      </x:c>
      <x:c r="P24" s="36" t="str">
        <x:v>metadata_and_abstract_verified</x:v>
      </x:c>
      <x:c r="Q24" s="36" t="str">
        <x:v>core</x:v>
      </x:c>
      <x:c r="R24" s="34" t="str">
        <x:v>Recent high-value benchmark against strong personalization standards.</x:v>
      </x:c>
    </x:row>
    <x:row r="25" ht="48" customHeight="1">
      <x:c r="A25" s="36" t="str">
        <x:v>NMS018</x:v>
      </x:c>
      <x:c r="B25" s="36" t="str">
        <x:v>2026</x:v>
      </x:c>
      <x:c r="C25" s="34" t="str">
        <x:v>Wang et al.</x:v>
      </x:c>
      <x:c r="D25" s="34" t="str">
        <x:v>Personalized Robotic Lumbar Rehabilitation Based on Medical-Imaging-Assisted Musculoskeletal Biomechanical Modeling</x:v>
      </x:c>
      <x:c r="E25" s="34" t="str">
        <x:v>IEEE Transactions on Neural Systems and Rehabilitation Engineering</x:v>
      </x:c>
      <x:c r="F25" s="34" t="str">
        <x:v>https://doi.org/10.1109/TNSRE.2026.3663395</x:v>
      </x:c>
      <x:c r="G25" s="34" t="str">
        <x:v>Rehabilitation modeling</x:v>
      </x:c>
      <x:c r="H25" s="34" t="str">
        <x:v>Lumbar rehabilitation patients</x:v>
      </x:c>
      <x:c r="I25" s="34" t="str">
        <x:v>Medical imaging; robot interaction</x:v>
      </x:c>
      <x:c r="J25" s="34" t="str">
        <x:v>Imaging-assisted musculoskeletal biomechanical model</x:v>
      </x:c>
      <x:c r="K25" s="34" t="str">
        <x:v>Patient-specific anatomy</x:v>
      </x:c>
      <x:c r="L25" s="34" t="str">
        <x:v>Session-level</x:v>
      </x:c>
      <x:c r="M25" s="34" t="str">
        <x:v>robotic_rehabilitation</x:v>
      </x:c>
      <x:c r="N25" s="34" t="str">
        <x:v>Clinical feasibility</x:v>
      </x:c>
      <x:c r="O25" s="36" t="str">
        <x:v>twin_enabling</x:v>
      </x:c>
      <x:c r="P25" s="36" t="str">
        <x:v>metadata_verified</x:v>
      </x:c>
      <x:c r="Q25" s="36" t="str">
        <x:v>core</x:v>
      </x:c>
      <x:c r="R25" s="34" t="str">
        <x:v>Direct 2026 TNSRE patient-specific robot-rehabilitation link.</x:v>
      </x:c>
    </x:row>
    <x:row r="26" ht="48" customHeight="1">
      <x:c r="A26" s="36" t="str">
        <x:v>NMS019</x:v>
      </x:c>
      <x:c r="B26" s="36" t="str">
        <x:v>2026</x:v>
      </x:c>
      <x:c r="C26" s="34" t="str">
        <x:v>Paz et al.</x:v>
      </x:c>
      <x:c r="D26" s="34" t="str">
        <x:v>Personalized musculoskeletal models show that gait biofeedback alters knee cartilage contact mechanics in ACL-reconstructed subjects</x:v>
      </x:c>
      <x:c r="E26" s="34" t="str">
        <x:v>Journal of Biomechanics</x:v>
      </x:c>
      <x:c r="F26" s="34" t="str">
        <x:v>https://doi.org/10.1016/j.jbiomech.2026.113376</x:v>
      </x:c>
      <x:c r="G26" s="34" t="str">
        <x:v>Personalized intervention assessment</x:v>
      </x:c>
      <x:c r="H26" s="34" t="str">
        <x:v>ACL-reconstructed participants</x:v>
      </x:c>
      <x:c r="I26" s="34" t="str">
        <x:v>Gait; biofeedback; imaging/model inputs</x:v>
      </x:c>
      <x:c r="J26" s="34" t="str">
        <x:v>Personalized musculoskeletal/contact mechanics</x:v>
      </x:c>
      <x:c r="K26" s="34" t="str">
        <x:v>Patient-specific</x:v>
      </x:c>
      <x:c r="L26" s="34" t="str">
        <x:v>Session-level</x:v>
      </x:c>
      <x:c r="M26" s="34" t="str">
        <x:v>biofeedback</x:v>
      </x:c>
      <x:c r="N26" s="34" t="str">
        <x:v>Clinical experimental study</x:v>
      </x:c>
      <x:c r="O26" s="36" t="str">
        <x:v>twin_enabling</x:v>
      </x:c>
      <x:c r="P26" s="36" t="str">
        <x:v>metadata_and_abstract_verified</x:v>
      </x:c>
      <x:c r="Q26" s="36" t="str">
        <x:v>core</x:v>
      </x:c>
      <x:c r="R26" s="34" t="str">
        <x:v>Shows intervention-to-internal-tissue-mechanics inference in a clinical cohort.</x:v>
      </x:c>
    </x:row>
    <x:row r="27" ht="48" customHeight="1">
      <x:c r="A27" s="36" t="str">
        <x:v>NEU001</x:v>
      </x:c>
      <x:c r="B27" s="36" t="str">
        <x:v>2017</x:v>
      </x:c>
      <x:c r="C27" s="34" t="str">
        <x:v>Sartori; Yavuz; Farina</x:v>
      </x:c>
      <x:c r="D27" s="34" t="str">
        <x:v>In Vivo Neuromechanics: Decoding Causal Motor Neuron Behavior with Resulting Musculoskeletal Function</x:v>
      </x:c>
      <x:c r="E27" s="34" t="str">
        <x:v>Scientific Reports</x:v>
      </x:c>
      <x:c r="F27" s="34" t="str">
        <x:v>https://doi.org/10.1038/s41598-017-13766-6</x:v>
      </x:c>
      <x:c r="G27" s="34" t="str">
        <x:v>Neural control</x:v>
      </x:c>
      <x:c r="H27" s="34" t="str">
        <x:v>Human ankle function</x:v>
      </x:c>
      <x:c r="I27" s="34" t="str">
        <x:v>High-density EMG motor-unit discharges</x:v>
      </x:c>
      <x:c r="J27" s="34" t="str">
        <x:v>Motor-neuron-driven NMS mapping</x:v>
      </x:c>
      <x:c r="K27" s="34" t="str">
        <x:v>Subject-specific neural drive</x:v>
      </x:c>
      <x:c r="L27" s="34" t="str">
        <x:v>Near-real-time/offline analysis</x:v>
      </x:c>
      <x:c r="M27" s="34" t="str">
        <x:v>None</x:v>
      </x:c>
      <x:c r="N27" s="34" t="str">
        <x:v>Human in-vivo experiment</x:v>
      </x:c>
      <x:c r="O27" s="36" t="str">
        <x:v>twin_enabling</x:v>
      </x:c>
      <x:c r="P27" s="36" t="str">
        <x:v>metadata_and_abstract_verified</x:v>
      </x:c>
      <x:c r="Q27" s="36" t="str">
        <x:v>core</x:v>
      </x:c>
      <x:c r="R27" s="34" t="str">
        <x:v>Strongest direct bridge from motor-neuron discharge to musculoskeletal function.</x:v>
      </x:c>
    </x:row>
    <x:row r="28" ht="48" customHeight="1">
      <x:c r="A28" s="36" t="str">
        <x:v>NEU002</x:v>
      </x:c>
      <x:c r="B28" s="36" t="str">
        <x:v>2017</x:v>
      </x:c>
      <x:c r="C28" s="34" t="str">
        <x:v>Farina et al.</x:v>
      </x:c>
      <x:c r="D28" s="34" t="str">
        <x:v>Man/machine interface based on the discharge timings of spinal motor neurons after targeted muscle reinnervation</x:v>
      </x:c>
      <x:c r="E28" s="34" t="str">
        <x:v>Nature Biomedical Engineering</x:v>
      </x:c>
      <x:c r="F28" s="34" t="str">
        <x:v>https://doi.org/10.1038/s41551-016-0025</x:v>
      </x:c>
      <x:c r="G28" s="34" t="str">
        <x:v>Neural interface</x:v>
      </x:c>
      <x:c r="H28" s="34" t="str">
        <x:v>Upper-limb amputees/TMR</x:v>
      </x:c>
      <x:c r="I28" s="34" t="str">
        <x:v>High-density EMG motor-unit discharges</x:v>
      </x:c>
      <x:c r="J28" s="34" t="str">
        <x:v>Neural decoding for prosthetic interface</x:v>
      </x:c>
      <x:c r="K28" s="34" t="str">
        <x:v>Patient-specific reinnervated signals</x:v>
      </x:c>
      <x:c r="L28" s="34" t="str">
        <x:v>real_time</x:v>
      </x:c>
      <x:c r="M28" s="34" t="str">
        <x:v>prosthetic_control</x:v>
      </x:c>
      <x:c r="N28" s="34" t="str">
        <x:v>Human amputee experiments</x:v>
      </x:c>
      <x:c r="O28" s="36" t="str">
        <x:v>twin_enabling</x:v>
      </x:c>
      <x:c r="P28" s="36" t="str">
        <x:v>metadata_and_abstract_verified</x:v>
      </x:c>
      <x:c r="Q28" s="36" t="str">
        <x:v>core</x:v>
      </x:c>
      <x:c r="R28" s="34" t="str">
        <x:v>Neural-spike interface anchor; NMS model depth varies by implementation.</x:v>
      </x:c>
    </x:row>
    <x:row r="29" ht="48" customHeight="1">
      <x:c r="A29" s="36" t="str">
        <x:v>NEU003</x:v>
      </x:c>
      <x:c r="B29" s="36" t="str">
        <x:v>2020</x:v>
      </x:c>
      <x:c r="C29" s="34" t="str">
        <x:v>Kapelner et al.</x:v>
      </x:c>
      <x:c r="D29" s="34" t="str">
        <x:v>Neuro-Musculoskeletal Mapping for Man-Machine Interfacing</x:v>
      </x:c>
      <x:c r="E29" s="34" t="str">
        <x:v>Scientific Reports</x:v>
      </x:c>
      <x:c r="F29" s="34" t="str">
        <x:v>https://doi.org/10.1038/s41598-020-62773-7</x:v>
      </x:c>
      <x:c r="G29" s="34" t="str">
        <x:v>Neural control</x:v>
      </x:c>
      <x:c r="H29" s="34" t="str">
        <x:v>Human wrist/hand</x:v>
      </x:c>
      <x:c r="I29" s="34" t="str">
        <x:v>HD-EMG motor-neuron discharge timings</x:v>
      </x:c>
      <x:c r="J29" s="34" t="str">
        <x:v>Neural-data regression plus musculoskeletal forward dynamics</x:v>
      </x:c>
      <x:c r="K29" s="34" t="str">
        <x:v>Subject-specific</x:v>
      </x:c>
      <x:c r="L29" s="34" t="str">
        <x:v>real_time_capable</x:v>
      </x:c>
      <x:c r="M29" s="34" t="str">
        <x:v>human_machine_interface</x:v>
      </x:c>
      <x:c r="N29" s="34" t="str">
        <x:v>Human experiments</x:v>
      </x:c>
      <x:c r="O29" s="36" t="str">
        <x:v>twin_enabling</x:v>
      </x:c>
      <x:c r="P29" s="36" t="str">
        <x:v>metadata_and_abstract_verified</x:v>
      </x:c>
      <x:c r="Q29" s="36" t="str">
        <x:v>core</x:v>
      </x:c>
      <x:c r="R29" s="34" t="str">
        <x:v>Explicit neural-to-musculoskeletal map for robust interface control.</x:v>
      </x:c>
    </x:row>
    <x:row r="30" ht="48" customHeight="1">
      <x:c r="A30" s="36" t="str">
        <x:v>NEU004</x:v>
      </x:c>
      <x:c r="B30" s="36" t="str">
        <x:v>2022</x:v>
      </x:c>
      <x:c r="C30" s="34" t="str">
        <x:v>Jung et al.</x:v>
      </x:c>
      <x:c r="D30" s="34" t="str">
        <x:v>Intramuscular EMG-Driven Musculoskeletal Modelling: Towards Implanted Muscle Interfacing in Spinal Cord Injury Patients</x:v>
      </x:c>
      <x:c r="E30" s="34" t="str">
        <x:v>IEEE Transactions on Biomedical Engineering</x:v>
      </x:c>
      <x:c r="F30" s="34" t="str">
        <x:v>https://doi.org/10.1109/TBME.2021.3087137</x:v>
      </x:c>
      <x:c r="G30" s="34" t="str">
        <x:v>Neural sensing</x:v>
      </x:c>
      <x:c r="H30" s="34" t="str">
        <x:v>Healthy and incomplete SCI walking</x:v>
      </x:c>
      <x:c r="I30" s="34" t="str">
        <x:v>Surface and intramuscular EMG</x:v>
      </x:c>
      <x:c r="J30" s="34" t="str">
        <x:v>Subject-specific EMG-driven torque estimation</x:v>
      </x:c>
      <x:c r="K30" s="34" t="str">
        <x:v>Patient-specific</x:v>
      </x:c>
      <x:c r="L30" s="34" t="str">
        <x:v>Offline/real-time target</x:v>
      </x:c>
      <x:c r="M30" s="34" t="str">
        <x:v>assistive_control_target</x:v>
      </x:c>
      <x:c r="N30" s="34" t="str">
        <x:v>Four healthy plus three SCI participants</x:v>
      </x:c>
      <x:c r="O30" s="36" t="str">
        <x:v>twin_enabling</x:v>
      </x:c>
      <x:c r="P30" s="36" t="str">
        <x:v>metadata_and_abstract_verified</x:v>
      </x:c>
      <x:c r="Q30" s="36" t="str">
        <x:v>core</x:v>
      </x:c>
      <x:c r="R30" s="34" t="str">
        <x:v>Compares implanted and wearable neural surrogates in a patient-relevant setting.</x:v>
      </x:c>
    </x:row>
    <x:row r="31" ht="48" customHeight="1">
      <x:c r="A31" s="36" t="str">
        <x:v>NEU005</x:v>
      </x:c>
      <x:c r="B31" s="36" t="str">
        <x:v>2016</x:v>
      </x:c>
      <x:c r="C31" s="34" t="str">
        <x:v>Aoi; Funato</x:v>
      </x:c>
      <x:c r="D31" s="34" t="str">
        <x:v>Neuromusculoskeletal models based on the muscle synergy hypothesis for the investigation of adaptive motor control in locomotion via sensory-motor coordination</x:v>
      </x:c>
      <x:c r="E31" s="34" t="str">
        <x:v>Neuroscience Research</x:v>
      </x:c>
      <x:c r="F31" s="34" t="str">
        <x:v>https://doi.org/10.1016/j.neures.2015.11.005</x:v>
      </x:c>
      <x:c r="G31" s="34" t="str">
        <x:v>Neural control</x:v>
      </x:c>
      <x:c r="H31" s="34" t="str">
        <x:v>Locomotion</x:v>
      </x:c>
      <x:c r="I31" s="34" t="str">
        <x:v>EMG-derived synergies; sensory feedback</x:v>
      </x:c>
      <x:c r="J31" s="34" t="str">
        <x:v>Synergy/CPG neuromusculoskeletal models</x:v>
      </x:c>
      <x:c r="K31" s="34" t="str">
        <x:v>Generic to task-adaptive</x:v>
      </x:c>
      <x:c r="L31" s="34" t="str">
        <x:v>Simulation</x:v>
      </x:c>
      <x:c r="M31" s="34" t="str">
        <x:v>None</x:v>
      </x:c>
      <x:c r="N31" s="34" t="str">
        <x:v>Review of simulation studies</x:v>
      </x:c>
      <x:c r="O31" s="36" t="str">
        <x:v>review</x:v>
      </x:c>
      <x:c r="P31" s="36" t="str">
        <x:v>metadata_and_abstract_verified</x:v>
      </x:c>
      <x:c r="Q31" s="36" t="str">
        <x:v>adjacent</x:v>
      </x:c>
      <x:c r="R31" s="34" t="str">
        <x:v>Retained for biological control hypotheses and synergy interpretation.</x:v>
      </x:c>
    </x:row>
    <x:row r="32" ht="48" customHeight="1">
      <x:c r="A32" s="36" t="str">
        <x:v>NEU006</x:v>
      </x:c>
      <x:c r="B32" s="36" t="str">
        <x:v>2021</x:v>
      </x:c>
      <x:c r="C32" s="34" t="str">
        <x:v>De Groote; Falisse</x:v>
      </x:c>
      <x:c r="D32" s="34" t="str">
        <x:v>Perspective on musculoskeletal modelling and predictive simulations of human movement to assess the neuromechanics of gait</x:v>
      </x:c>
      <x:c r="E32" s="34" t="str">
        <x:v>Proceedings of the Royal Society B</x:v>
      </x:c>
      <x:c r="F32" s="34" t="str">
        <x:v>https://doi.org/10.1098/rspb.2020.2432</x:v>
      </x:c>
      <x:c r="G32" s="34" t="str">
        <x:v>Predictive neuromechanics</x:v>
      </x:c>
      <x:c r="H32" s="34" t="str">
        <x:v>Human gait and disorders</x:v>
      </x:c>
      <x:c r="I32" s="34" t="str">
        <x:v>Experimental data for calibration/validation</x:v>
      </x:c>
      <x:c r="J32" s="34" t="str">
        <x:v>Muscle-driven predictive simulation</x:v>
      </x:c>
      <x:c r="K32" s="34" t="str">
        <x:v>Personalization identified as need</x:v>
      </x:c>
      <x:c r="L32" s="34" t="str">
        <x:v>Offline</x:v>
      </x:c>
      <x:c r="M32" s="34" t="str">
        <x:v>Treatment/device design</x:v>
      </x:c>
      <x:c r="N32" s="34" t="str">
        <x:v>Perspective with literature synthesis</x:v>
      </x:c>
      <x:c r="O32" s="36" t="str">
        <x:v>review</x:v>
      </x:c>
      <x:c r="P32" s="36" t="str">
        <x:v>metadata_and_abstract_verified</x:v>
      </x:c>
      <x:c r="Q32" s="36" t="str">
        <x:v>core</x:v>
      </x:c>
      <x:c r="R32" s="34" t="str">
        <x:v>Defines predictive rather than tracking simulation and highlights uncertainty/personalization gaps.</x:v>
      </x:c>
    </x:row>
    <x:row r="33" ht="48" customHeight="1">
      <x:c r="A33" s="36" t="str">
        <x:v>NEU007</x:v>
      </x:c>
      <x:c r="B33" s="36" t="str">
        <x:v>2021</x:v>
      </x:c>
      <x:c r="C33" s="34" t="str">
        <x:v>Song et al.</x:v>
      </x:c>
      <x:c r="D33" s="34" t="str">
        <x:v>Deep reinforcement learning for modeling human locomotion control in neuromechanical simulation</x:v>
      </x:c>
      <x:c r="E33" s="34" t="str">
        <x:v>Journal of NeuroEngineering and Rehabilitation</x:v>
      </x:c>
      <x:c r="F33" s="34" t="str">
        <x:v>https://doi.org/10.1186/s12984-021-00919-y</x:v>
      </x:c>
      <x:c r="G33" s="34" t="str">
        <x:v>Embodied neural control</x:v>
      </x:c>
      <x:c r="H33" s="34" t="str">
        <x:v>Human locomotion simulation</x:v>
      </x:c>
      <x:c r="I33" s="34" t="str">
        <x:v>Proprioceptive state and task context</x:v>
      </x:c>
      <x:c r="J33" s="34" t="str">
        <x:v>Deep RL neuromechanical controller</x:v>
      </x:c>
      <x:c r="K33" s="34" t="str">
        <x:v>Generic model</x:v>
      </x:c>
      <x:c r="L33" s="34" t="str">
        <x:v>Simulation closed loop</x:v>
      </x:c>
      <x:c r="M33" s="34" t="str">
        <x:v>simulated_control</x:v>
      </x:c>
      <x:c r="N33" s="34" t="str">
        <x:v>Simulation benchmark/review framing</x:v>
      </x:c>
      <x:c r="O33" s="36" t="str">
        <x:v>simulation_only</x:v>
      </x:c>
      <x:c r="P33" s="36" t="str">
        <x:v>metadata_and_abstract_verified</x:v>
      </x:c>
      <x:c r="Q33" s="36" t="str">
        <x:v>core</x:v>
      </x:c>
      <x:c r="R33" s="34" t="str">
        <x:v>Connects motor-control hypotheses to scalable learned policies.</x:v>
      </x:c>
    </x:row>
    <x:row r="34" ht="48" customHeight="1">
      <x:c r="A34" s="36" t="str">
        <x:v>NEU008</x:v>
      </x:c>
      <x:c r="B34" s="36" t="str">
        <x:v>2024</x:v>
      </x:c>
      <x:c r="C34" s="34" t="str">
        <x:v>Codol; Michaels; Kashefi; Pruszynski; Gribble</x:v>
      </x:c>
      <x:c r="D34" s="34" t="str">
        <x:v>MotorNet, a Python toolbox for controlling differentiable biomechanical effectors with artificial neural networks</x:v>
      </x:c>
      <x:c r="E34" s="34" t="str">
        <x:v>eLife</x:v>
      </x:c>
      <x:c r="F34" s="34" t="str">
        <x:v>https://doi.org/10.7554/eLife.88591</x:v>
      </x:c>
      <x:c r="G34" s="34" t="str">
        <x:v>Differentiable neural control</x:v>
      </x:c>
      <x:c r="H34" s="34" t="str">
        <x:v>Biomechanical effectors</x:v>
      </x:c>
      <x:c r="I34" s="34" t="str">
        <x:v>Task states and proprioception</x:v>
      </x:c>
      <x:c r="J34" s="34" t="str">
        <x:v>Differentiable biomechanics plus neural networks</x:v>
      </x:c>
      <x:c r="K34" s="34" t="str">
        <x:v>Configurable, not patient-specific by default</x:v>
      </x:c>
      <x:c r="L34" s="34" t="str">
        <x:v>Simulation closed loop</x:v>
      </x:c>
      <x:c r="M34" s="34" t="str">
        <x:v>simulated_control</x:v>
      </x:c>
      <x:c r="N34" s="34" t="str">
        <x:v>Software demonstrations and peer review</x:v>
      </x:c>
      <x:c r="O34" s="36" t="str">
        <x:v>simulation_only</x:v>
      </x:c>
      <x:c r="P34" s="36" t="str">
        <x:v>metadata_and_abstract_verified</x:v>
      </x:c>
      <x:c r="Q34" s="36" t="str">
        <x:v>core</x:v>
      </x:c>
      <x:c r="R34" s="34" t="str">
        <x:v>Useful bridge for gradient-based NeuroAI; current examples are simpler than clinical full-body twins.</x:v>
      </x:c>
    </x:row>
    <x:row r="35" ht="48" customHeight="1">
      <x:c r="A35" s="36" t="str">
        <x:v>NEU009</x:v>
      </x:c>
      <x:c r="B35" s="36" t="str">
        <x:v>2024</x:v>
      </x:c>
      <x:c r="C35" s="34" t="str">
        <x:v>Chiappa et al.</x:v>
      </x:c>
      <x:c r="D35" s="34" t="str">
        <x:v>Acquiring musculoskeletal skills with curriculum-based reinforcement learning</x:v>
      </x:c>
      <x:c r="E35" s="34" t="str">
        <x:v>Neuron</x:v>
      </x:c>
      <x:c r="F35" s="34" t="str">
        <x:v>https://doi.org/10.1016/j.neuron.2024.09.002</x:v>
      </x:c>
      <x:c r="G35" s="34" t="str">
        <x:v>Embodied neural control</x:v>
      </x:c>
      <x:c r="H35" s="34" t="str">
        <x:v>Physiological hand model</x:v>
      </x:c>
      <x:c r="I35" s="34" t="str">
        <x:v>Proprioception and object state</x:v>
      </x:c>
      <x:c r="J35" s="34" t="str">
        <x:v>Recurrent policy plus curriculum RL</x:v>
      </x:c>
      <x:c r="K35" s="34" t="str">
        <x:v>Generic physiological model</x:v>
      </x:c>
      <x:c r="L35" s="34" t="str">
        <x:v>Simulation closed loop</x:v>
      </x:c>
      <x:c r="M35" s="34" t="str">
        <x:v>simulated_control</x:v>
      </x:c>
      <x:c r="N35" s="34" t="str">
        <x:v>MyoChallenge task and human-comparison analysis</x:v>
      </x:c>
      <x:c r="O35" s="36" t="str">
        <x:v>simulation_only</x:v>
      </x:c>
      <x:c r="P35" s="36" t="str">
        <x:v>metadata_and_abstract_verified</x:v>
      </x:c>
      <x:c r="Q35" s="36" t="str">
        <x:v>core</x:v>
      </x:c>
      <x:c r="R35" s="34" t="str">
        <x:v>Shows emergent low-dimensional structure but limited task generalization.</x:v>
      </x:c>
    </x:row>
    <x:row r="36" ht="48" customHeight="1">
      <x:c r="A36" s="36" t="str">
        <x:v>NEU010</x:v>
      </x:c>
      <x:c r="B36" s="36" t="str">
        <x:v>2023</x:v>
      </x:c>
      <x:c r="C36" s="34" t="str">
        <x:v>Chiappa; Marin Vargas; Huang; Mathis</x:v>
      </x:c>
      <x:c r="D36" s="34" t="str">
        <x:v>Latent exploration for Reinforcement Learning</x:v>
      </x:c>
      <x:c r="E36" s="34" t="str">
        <x:v>NeurIPS</x:v>
      </x:c>
      <x:c r="F36" s="34" t="str">
        <x:v>https://proceedings.neurips.cc/paper_files/paper/2023/hash/b0ca717599b7ba84d5e4f4c8b1ef6657-Abstract-Conference.html</x:v>
      </x:c>
      <x:c r="G36" s="34" t="str">
        <x:v>Embodied neural control</x:v>
      </x:c>
      <x:c r="H36" s="34" t="str">
        <x:v>MyoSuite and continuous-control agents</x:v>
      </x:c>
      <x:c r="I36" s="34" t="str">
        <x:v>State and proprioceptive inputs</x:v>
      </x:c>
      <x:c r="J36" s="34" t="str">
        <x:v>Latent time-correlated exploration</x:v>
      </x:c>
      <x:c r="K36" s="34" t="str">
        <x:v>Generic simulators</x:v>
      </x:c>
      <x:c r="L36" s="34" t="str">
        <x:v>Simulation closed loop</x:v>
      </x:c>
      <x:c r="M36" s="34" t="str">
        <x:v>simulated_control</x:v>
      </x:c>
      <x:c r="N36" s="34" t="str">
        <x:v>Benchmark experiments</x:v>
      </x:c>
      <x:c r="O36" s="36" t="str">
        <x:v>simulation_only</x:v>
      </x:c>
      <x:c r="P36" s="36" t="str">
        <x:v>metadata_and_abstract_verified</x:v>
      </x:c>
      <x:c r="Q36" s="36" t="str">
        <x:v>core</x:v>
      </x:c>
      <x:c r="R36" s="34" t="str">
        <x:v>Direct NeurIPS contribution for high-dimensional muscle actuation.</x:v>
      </x:c>
    </x:row>
    <x:row r="37" ht="48" customHeight="1">
      <x:c r="A37" s="36" t="str">
        <x:v>NEU011</x:v>
      </x:c>
      <x:c r="B37" s="36" t="str">
        <x:v>2024</x:v>
      </x:c>
      <x:c r="C37" s="34" t="str">
        <x:v>He; Zuo; Ma; Sui</x:v>
      </x:c>
      <x:c r="D37" s="34" t="str">
        <x:v>DynSyn: Dynamical Synergistic Representation for Efficient Learning and Control in Overactuated Embodied Systems</x:v>
      </x:c>
      <x:c r="E37" s="34" t="str">
        <x:v>ICML</x:v>
      </x:c>
      <x:c r="F37" s="34" t="str">
        <x:v>https://proceedings.mlr.press/v235/he24o.html</x:v>
      </x:c>
      <x:c r="G37" s="34" t="str">
        <x:v>Embodied neural control</x:v>
      </x:c>
      <x:c r="H37" s="34" t="str">
        <x:v>Multiple musculoskeletal models</x:v>
      </x:c>
      <x:c r="I37" s="34" t="str">
        <x:v>State and dynamics</x:v>
      </x:c>
      <x:c r="J37" s="34" t="str">
        <x:v>Dynamical synergistic representation plus RL</x:v>
      </x:c>
      <x:c r="K37" s="34" t="str">
        <x:v>Model/task adaptation</x:v>
      </x:c>
      <x:c r="L37" s="34" t="str">
        <x:v>Simulation closed loop</x:v>
      </x:c>
      <x:c r="M37" s="34" t="str">
        <x:v>simulated_control</x:v>
      </x:c>
      <x:c r="N37" s="34" t="str">
        <x:v>Multi-task simulation benchmarks</x:v>
      </x:c>
      <x:c r="O37" s="36" t="str">
        <x:v>simulation_only</x:v>
      </x:c>
      <x:c r="P37" s="36" t="str">
        <x:v>metadata_and_abstract_verified</x:v>
      </x:c>
      <x:c r="Q37" s="36" t="str">
        <x:v>core</x:v>
      </x:c>
      <x:c r="R37" s="34" t="str">
        <x:v>Yanan Sui line; interpretable synergy and efficient high-dimensional control.</x:v>
      </x:c>
    </x:row>
    <x:row r="38" ht="48" customHeight="1">
      <x:c r="A38" s="36" t="str">
        <x:v>NEU012</x:v>
      </x:c>
      <x:c r="B38" s="36" t="str">
        <x:v>2026</x:v>
      </x:c>
      <x:c r="C38" s="34" t="str">
        <x:v>Codol; Pruszynski; Gribble</x:v>
      </x:c>
      <x:c r="D38" s="34" t="str">
        <x:v>Embodied Sensorimotor Control: Computational Modeling of the Neural Control of Movement</x:v>
      </x:c>
      <x:c r="E38" s="34" t="str">
        <x:v>Annual Review of Biomedical Engineering</x:v>
      </x:c>
      <x:c r="F38" s="34" t="str">
        <x:v>https://doi.org/10.1146/annurev-bioeng-102723-020454</x:v>
      </x:c>
      <x:c r="G38" s="34" t="str">
        <x:v>Neural control synthesis</x:v>
      </x:c>
      <x:c r="H38" s="34" t="str">
        <x:v>Sensorimotor systems</x:v>
      </x:c>
      <x:c r="I38" s="34" t="str">
        <x:v>Neural population and biomechanical data</x:v>
      </x:c>
      <x:c r="J38" s="34" t="str">
        <x:v>Integrated neural dynamics, optimal feedback, and embodied models</x:v>
      </x:c>
      <x:c r="K38" s="34" t="str">
        <x:v>Personalization as open problem</x:v>
      </x:c>
      <x:c r="L38" s="34" t="str">
        <x:v>Review</x:v>
      </x:c>
      <x:c r="M38" s="34" t="str">
        <x:v>None</x:v>
      </x:c>
      <x:c r="N38" s="34" t="str">
        <x:v>Authoritative review</x:v>
      </x:c>
      <x:c r="O38" s="36" t="str">
        <x:v>review</x:v>
      </x:c>
      <x:c r="P38" s="36" t="str">
        <x:v>metadata_and_abstract_verified</x:v>
      </x:c>
      <x:c r="Q38" s="36" t="str">
        <x:v>core</x:v>
      </x:c>
      <x:c r="R38" s="34" t="str">
        <x:v>Current synthesis tying neural populations to explicit musculoskeletal dynamics.</x:v>
      </x:c>
    </x:row>
    <x:row r="39" ht="48" customHeight="1">
      <x:c r="A39" s="36" t="str">
        <x:v>EMB001</x:v>
      </x:c>
      <x:c r="B39" s="36" t="str">
        <x:v>2022</x:v>
      </x:c>
      <x:c r="C39" s="34" t="str">
        <x:v>Wang; Caggiano; Durandau; Sartori; Kumar</x:v>
      </x:c>
      <x:c r="D39" s="34" t="str">
        <x:v>MyoSim: Fast and physiologically realistic MuJoCo models for musculoskeletal and exoskeletal studies</x:v>
      </x:c>
      <x:c r="E39" s="34" t="str">
        <x:v>ICRA</x:v>
      </x:c>
      <x:c r="F39" s="34" t="str">
        <x:v>https://doi.org/10.1109/ICRA46639.2022.9811684</x:v>
      </x:c>
      <x:c r="G39" s="34" t="str">
        <x:v>Embodied AI platforms</x:v>
      </x:c>
      <x:c r="H39" s="34" t="str">
        <x:v>Musculoskeletal and exoskeletal simulation</x:v>
      </x:c>
      <x:c r="I39" s="34" t="str">
        <x:v>Simulator state</x:v>
      </x:c>
      <x:c r="J39" s="34" t="str">
        <x:v>Fast MuJoCo physiological models</x:v>
      </x:c>
      <x:c r="K39" s="34" t="str">
        <x:v>Configurable physiology</x:v>
      </x:c>
      <x:c r="L39" s="34" t="str">
        <x:v>Simulation closed loop</x:v>
      </x:c>
      <x:c r="M39" s="34" t="str">
        <x:v>simulated_human_device_control</x:v>
      </x:c>
      <x:c r="N39" s="34" t="str">
        <x:v>Simulation performance validation</x:v>
      </x:c>
      <x:c r="O39" s="36" t="str">
        <x:v>simulation_only</x:v>
      </x:c>
      <x:c r="P39" s="36" t="str">
        <x:v>metadata_verified</x:v>
      </x:c>
      <x:c r="Q39" s="36" t="str">
        <x:v>core</x:v>
      </x:c>
      <x:c r="R39" s="34" t="str">
        <x:v>Durandau-Sartori bridge from NMS modeling to scalable robotics simulation.</x:v>
      </x:c>
    </x:row>
    <x:row r="40" ht="48" customHeight="1">
      <x:c r="A40" s="36" t="str">
        <x:v>EMB002</x:v>
      </x:c>
      <x:c r="B40" s="36" t="str">
        <x:v>2022</x:v>
      </x:c>
      <x:c r="C40" s="34" t="str">
        <x:v>Caggiano; Wang; Durandau; Sartori; Kumar</x:v>
      </x:c>
      <x:c r="D40" s="34" t="str">
        <x:v>MyoSuite: A Contact-rich Simulation Suite for Musculoskeletal Motor Control</x:v>
      </x:c>
      <x:c r="E40" s="34" t="str">
        <x:v>L4DC</x:v>
      </x:c>
      <x:c r="F40" s="34" t="str">
        <x:v>https://proceedings.mlr.press/v168/caggiano22a.html</x:v>
      </x:c>
      <x:c r="G40" s="34" t="str">
        <x:v>Embodied AI platforms</x:v>
      </x:c>
      <x:c r="H40" s="34" t="str">
        <x:v>Elbow, wrist, hand and locomotion tasks</x:v>
      </x:c>
      <x:c r="I40" s="34" t="str">
        <x:v>Proprioception; contact; environment state</x:v>
      </x:c>
      <x:c r="J40" s="34" t="str">
        <x:v>MuJoCo/Gym musculoskeletal benchmark suite</x:v>
      </x:c>
      <x:c r="K40" s="34" t="str">
        <x:v>Physiological alterations supported</x:v>
      </x:c>
      <x:c r="L40" s="34" t="str">
        <x:v>Simulation closed loop</x:v>
      </x:c>
      <x:c r="M40" s="34" t="str">
        <x:v>simulated_control</x:v>
      </x:c>
      <x:c r="N40" s="34" t="str">
        <x:v>Open benchmark suite</x:v>
      </x:c>
      <x:c r="O40" s="36" t="str">
        <x:v>simulation_only</x:v>
      </x:c>
      <x:c r="P40" s="36" t="str">
        <x:v>metadata_and_abstract_verified</x:v>
      </x:c>
      <x:c r="Q40" s="36" t="str">
        <x:v>core</x:v>
      </x:c>
      <x:c r="R40" s="34" t="str">
        <x:v>Core embodied-AI substrate; digital-twin label should not be inferred automatically.</x:v>
      </x:c>
    </x:row>
    <x:row r="41" ht="48" customHeight="1">
      <x:c r="A41" s="36" t="str">
        <x:v>EMB003</x:v>
      </x:c>
      <x:c r="B41" s="36" t="str">
        <x:v>2023</x:v>
      </x:c>
      <x:c r="C41" s="34" t="str">
        <x:v>Caggiano; Dasari; Kumar</x:v>
      </x:c>
      <x:c r="D41" s="34" t="str">
        <x:v>MyoDex: A Generalizable Prior for Dexterous Manipulation</x:v>
      </x:c>
      <x:c r="E41" s="34" t="str">
        <x:v>ICML</x:v>
      </x:c>
      <x:c r="F41" s="34" t="str">
        <x:v>https://proceedings.mlr.press/v202/caggiano23a.html</x:v>
      </x:c>
      <x:c r="G41" s="34" t="str">
        <x:v>Embodied AI policies</x:v>
      </x:c>
      <x:c r="H41" s="34" t="str">
        <x:v>Physiological hand</x:v>
      </x:c>
      <x:c r="I41" s="34" t="str">
        <x:v>Proprioception and object state</x:v>
      </x:c>
      <x:c r="J41" s="34" t="str">
        <x:v>Multi-task prior for musculoskeletal dexterity</x:v>
      </x:c>
      <x:c r="K41" s="34" t="str">
        <x:v>Generic physiological model</x:v>
      </x:c>
      <x:c r="L41" s="34" t="str">
        <x:v>Simulation closed loop</x:v>
      </x:c>
      <x:c r="M41" s="34" t="str">
        <x:v>simulated_control</x:v>
      </x:c>
      <x:c r="N41" s="34" t="str">
        <x:v>Many-task simulation benchmark</x:v>
      </x:c>
      <x:c r="O41" s="36" t="str">
        <x:v>simulation_only</x:v>
      </x:c>
      <x:c r="P41" s="36" t="str">
        <x:v>metadata_and_abstract_verified</x:v>
      </x:c>
      <x:c r="Q41" s="36" t="str">
        <x:v>core</x:v>
      </x:c>
      <x:c r="R41" s="34" t="str">
        <x:v>Advances generalization across contact-rich behaviors.</x:v>
      </x:c>
    </x:row>
    <x:row r="42" ht="48" customHeight="1">
      <x:c r="A42" s="36" t="str">
        <x:v>EMB004</x:v>
      </x:c>
      <x:c r="B42" s="36" t="str">
        <x:v>2024</x:v>
      </x:c>
      <x:c r="C42" s="34" t="str">
        <x:v>Zuo; He; Shao; Sui</x:v>
      </x:c>
      <x:c r="D42" s="34" t="str">
        <x:v>Self Model for Embodied Intelligence: Modeling Full-Body Human Musculoskeletal System and Locomotion Control with Hierarchical Low-Dimensional Representation</x:v>
      </x:c>
      <x:c r="E42" s="34" t="str">
        <x:v>ICRA</x:v>
      </x:c>
      <x:c r="F42" s="34" t="str">
        <x:v>https://doi.org/10.1109/ICRA57147.2024.10610081</x:v>
      </x:c>
      <x:c r="G42" s="34" t="str">
        <x:v>Embodied AI platforms</x:v>
      </x:c>
      <x:c r="H42" s="34" t="str">
        <x:v>Full-body MS-Human-700</x:v>
      </x:c>
      <x:c r="I42" s="34" t="str">
        <x:v>Locomotion data and simulator state</x:v>
      </x:c>
      <x:c r="J42" s="34" t="str">
        <x:v>700-muscle model plus hierarchical deep RL</x:v>
      </x:c>
      <x:c r="K42" s="34" t="str">
        <x:v>Generic full-body model</x:v>
      </x:c>
      <x:c r="L42" s="34" t="str">
        <x:v>Simulation closed loop</x:v>
      </x:c>
      <x:c r="M42" s="34" t="str">
        <x:v>simulated_control</x:v>
      </x:c>
      <x:c r="N42" s="34" t="str">
        <x:v>Simulation against human locomotion data</x:v>
      </x:c>
      <x:c r="O42" s="36" t="str">
        <x:v>simulation_only</x:v>
      </x:c>
      <x:c r="P42" s="36" t="str">
        <x:v>metadata_and_abstract_verified</x:v>
      </x:c>
      <x:c r="Q42" s="36" t="str">
        <x:v>core</x:v>
      </x:c>
      <x:c r="R42" s="34" t="str">
        <x:v>Yanan Sui line's strongest full-body self-model contribution; not yet patient-specific.</x:v>
      </x:c>
    </x:row>
    <x:row r="43" ht="48" customHeight="1">
      <x:c r="A43" s="36" t="str">
        <x:v>EMB005</x:v>
      </x:c>
      <x:c r="B43" s="36" t="str">
        <x:v>2025</x:v>
      </x:c>
      <x:c r="C43" s="34" t="str">
        <x:v>Wang et al.</x:v>
      </x:c>
      <x:c r="D43" s="34" t="str">
        <x:v>MyoChallenge 2024: A New Benchmark for Physiological Dexterity and Agility in Bionic Humans</x:v>
      </x:c>
      <x:c r="E43" s="34" t="str">
        <x:v>NeurIPS Datasets and Benchmarks</x:v>
      </x:c>
      <x:c r="F43" s="34" t="str">
        <x:v>https://papers.neurips.cc/paper_files/paper/2025/hash/5a8f69523f9511a5706568c552de0ebb-Abstract-Datasets_and_Benchmarks_Track.html</x:v>
      </x:c>
      <x:c r="G43" s="34" t="str">
        <x:v>Embodied AI benchmarks</x:v>
      </x:c>
      <x:c r="H43" s="34" t="str">
        <x:v>Amputee/prosthetic digital models</x:v>
      </x:c>
      <x:c r="I43" s="34" t="str">
        <x:v>Simulator and task state</x:v>
      </x:c>
      <x:c r="J43" s="34" t="str">
        <x:v>MyoSuite bionic-human benchmark</x:v>
      </x:c>
      <x:c r="K43" s="34" t="str">
        <x:v>Physiological variations in benchmark</x:v>
      </x:c>
      <x:c r="L43" s="34" t="str">
        <x:v>Simulation closed loop</x:v>
      </x:c>
      <x:c r="M43" s="34" t="str">
        <x:v>simulated_human_device_control</x:v>
      </x:c>
      <x:c r="N43" s="34" t="str">
        <x:v>Open competition benchmark</x:v>
      </x:c>
      <x:c r="O43" s="36" t="str">
        <x:v>explicit_digital_twin</x:v>
      </x:c>
      <x:c r="P43" s="36" t="str">
        <x:v>metadata_and_abstract_verified</x:v>
      </x:c>
      <x:c r="Q43" s="36" t="str">
        <x:v>core</x:v>
      </x:c>
      <x:c r="R43" s="34" t="str">
        <x:v>Important shared benchmark joining biological and prosthetic limbs; sim-to-real remains open.</x:v>
      </x:c>
    </x:row>
    <x:row r="44" ht="48" customHeight="1">
      <x:c r="A44" s="36" t="str">
        <x:v>WEA001</x:v>
      </x:c>
      <x:c r="B44" s="36" t="str">
        <x:v>2022</x:v>
      </x:c>
      <x:c r="C44" s="34" t="str">
        <x:v>Al Borno et al.</x:v>
      </x:c>
      <x:c r="D44" s="34" t="str">
        <x:v>OpenSense: An open-source toolbox for inertial-measurement-unit-based measurement of lower extremity kinematics over long durations</x:v>
      </x:c>
      <x:c r="E44" s="34" t="str">
        <x:v>Journal of NeuroEngineering and Rehabilitation</x:v>
      </x:c>
      <x:c r="F44" s="34" t="str">
        <x:v>https://doi.org/10.1186/s12984-022-01001-x</x:v>
      </x:c>
      <x:c r="G44" s="34" t="str">
        <x:v>Wearable observability</x:v>
      </x:c>
      <x:c r="H44" s="34" t="str">
        <x:v>Healthy lower-extremity movement</x:v>
      </x:c>
      <x:c r="I44" s="34" t="str">
        <x:v>IMU orientations</x:v>
      </x:c>
      <x:c r="J44" s="34" t="str">
        <x:v>Constrained biomechanical inverse kinematics</x:v>
      </x:c>
      <x:c r="K44" s="34" t="str">
        <x:v>Anthropometric model mapping</x:v>
      </x:c>
      <x:c r="L44" s="34" t="str">
        <x:v>Long-duration one-way sync</x:v>
      </x:c>
      <x:c r="M44" s="34" t="str">
        <x:v>Monitoring</x:v>
      </x:c>
      <x:c r="N44" s="34" t="str">
        <x:v>Human validation versus optical motion capture</x:v>
      </x:c>
      <x:c r="O44" s="36" t="str">
        <x:v>twin_enabling</x:v>
      </x:c>
      <x:c r="P44" s="36" t="str">
        <x:v>metadata_and_abstract_verified</x:v>
      </x:c>
      <x:c r="Q44" s="36" t="str">
        <x:v>core</x:v>
      </x:c>
      <x:c r="R44" s="34" t="str">
        <x:v>IMU appears here as one wearable modality, not the map's center.</x:v>
      </x:c>
    </x:row>
    <x:row r="45" ht="48" customHeight="1">
      <x:c r="A45" s="36" t="str">
        <x:v>WEA002</x:v>
      </x:c>
      <x:c r="B45" s="36" t="str">
        <x:v>2023</x:v>
      </x:c>
      <x:c r="C45" s="34" t="str">
        <x:v>Uhlrich et al.</x:v>
      </x:c>
      <x:c r="D45" s="34" t="str">
        <x:v>OpenCap: Human movement dynamics from smartphone videos</x:v>
      </x:c>
      <x:c r="E45" s="34" t="str">
        <x:v>PLOS Computational Biology</x:v>
      </x:c>
      <x:c r="F45" s="34" t="str">
        <x:v>https://doi.org/10.1371/journal.pcbi.1011462</x:v>
      </x:c>
      <x:c r="G45" s="34" t="str">
        <x:v>Wearable/field observability</x:v>
      </x:c>
      <x:c r="H45" s="34" t="str">
        <x:v>Healthy and field human movement</x:v>
      </x:c>
      <x:c r="I45" s="34" t="str">
        <x:v>Multi-smartphone video</x:v>
      </x:c>
      <x:c r="J45" s="34" t="str">
        <x:v>Pose estimation plus musculoskeletal dynamic simulation</x:v>
      </x:c>
      <x:c r="K45" s="34" t="str">
        <x:v>Scaled subject model</x:v>
      </x:c>
      <x:c r="L45" s="34" t="str">
        <x:v>Cloud episodic</x:v>
      </x:c>
      <x:c r="M45" s="34" t="str">
        <x:v>Monitoring and rehabilitation decisions</x:v>
      </x:c>
      <x:c r="N45" s="34" t="str">
        <x:v>Lab validation plus 100-subject field study</x:v>
      </x:c>
      <x:c r="O45" s="36" t="str">
        <x:v>twin_enabling</x:v>
      </x:c>
      <x:c r="P45" s="36" t="str">
        <x:v>full_text_sections_verified</x:v>
      </x:c>
      <x:c r="Q45" s="36" t="str">
        <x:v>core</x:v>
      </x:c>
      <x:c r="R45" s="34" t="str">
        <x:v>Democratizes dynamics estimation; not wearable-only and not a closed-loop twin.</x:v>
      </x:c>
    </x:row>
    <x:row r="46" ht="48" customHeight="1">
      <x:c r="A46" s="36" t="str">
        <x:v>WEA003</x:v>
      </x:c>
      <x:c r="B46" s="36" t="str">
        <x:v>2023</x:v>
      </x:c>
      <x:c r="C46" s="34" t="str">
        <x:v>Liu et al.</x:v>
      </x:c>
      <x:c r="D46" s="34" t="str">
        <x:v>Development of a Wearable Ultrasound Transducer for Sensing Muscle Activities in Assistive Robotics Applications</x:v>
      </x:c>
      <x:c r="E46" s="34" t="str">
        <x:v>Biosensors</x:v>
      </x:c>
      <x:c r="F46" s="34" t="str">
        <x:v>https://doi.org/10.3390/bios13010134</x:v>
      </x:c>
      <x:c r="G46" s="34" t="str">
        <x:v>Wearable observability</x:v>
      </x:c>
      <x:c r="H46" s="34" t="str">
        <x:v>Muscle activity sensing</x:v>
      </x:c>
      <x:c r="I46" s="34" t="str">
        <x:v>Wearable ultrasound</x:v>
      </x:c>
      <x:c r="J46" s="34" t="str">
        <x:v>Flexible ultrasound array and muscle imaging</x:v>
      </x:c>
      <x:c r="K46" s="34" t="str">
        <x:v>Potentially local/depth-specific</x:v>
      </x:c>
      <x:c r="L46" s="34" t="str">
        <x:v>continuous_capable</x:v>
      </x:c>
      <x:c r="M46" s="34" t="str">
        <x:v>Assistive-control target</x:v>
      </x:c>
      <x:c r="N46" s="34" t="str">
        <x:v>In-vitro porcine proof of concept</x:v>
      </x:c>
      <x:c r="O46" s="36" t="str">
        <x:v>twin_enabling</x:v>
      </x:c>
      <x:c r="P46" s="36" t="str">
        <x:v>metadata_and_abstract_verified</x:v>
      </x:c>
      <x:c r="Q46" s="36" t="str">
        <x:v>adjacent</x:v>
      </x:c>
      <x:c r="R46" s="34" t="str">
        <x:v>Important non-EMG sensing direction; human and NMS integration not yet demonstrated.</x:v>
      </x:c>
    </x:row>
    <x:row r="47" ht="48" customHeight="1">
      <x:c r="A47" s="36" t="str">
        <x:v>WEA004</x:v>
      </x:c>
      <x:c r="B47" s="36" t="str">
        <x:v>2025</x:v>
      </x:c>
      <x:c r="C47" s="34" t="str">
        <x:v>Yang et al.</x:v>
      </x:c>
      <x:c r="D47" s="34" t="str">
        <x:v>Virtual reality interactions via a user-generic ultrasound human-machine interface for wrist and hand tracking</x:v>
      </x:c>
      <x:c r="E47" s="34" t="str">
        <x:v>Nature Communications</x:v>
      </x:c>
      <x:c r="F47" s="34" t="str">
        <x:v>https://www.nature.com/articles/s41467-025-66001-6</x:v>
      </x:c>
      <x:c r="G47" s="34" t="str">
        <x:v>Wearable observability</x:v>
      </x:c>
      <x:c r="H47" s="34" t="str">
        <x:v>Wrist and hand control</x:v>
      </x:c>
      <x:c r="I47" s="34" t="str">
        <x:v>Portable ultrasound armband</x:v>
      </x:c>
      <x:c r="J47" s="34" t="str">
        <x:v>Deep-learning kinematic decoder</x:v>
      </x:c>
      <x:c r="K47" s="34" t="str">
        <x:v>User-generic with cross-user tests</x:v>
      </x:c>
      <x:c r="L47" s="34" t="str">
        <x:v>continuous</x:v>
      </x:c>
      <x:c r="M47" s="34" t="str">
        <x:v>human_machine_interface</x:v>
      </x:c>
      <x:c r="N47" s="34" t="str">
        <x:v>Multi-session/cross-participant evaluation</x:v>
      </x:c>
      <x:c r="O47" s="36" t="str">
        <x:v>twin_enabling</x:v>
      </x:c>
      <x:c r="P47" s="36" t="str">
        <x:v>metadata_and_abstract_verified</x:v>
      </x:c>
      <x:c r="Q47" s="36" t="str">
        <x:v>core</x:v>
      </x:c>
      <x:c r="R47" s="34" t="str">
        <x:v>Shows deep-muscle morphology as a scalable intent channel beyond EMG.</x:v>
      </x:c>
    </x:row>
    <x:row r="48" ht="48" customHeight="1">
      <x:c r="A48" s="36" t="str">
        <x:v>WEA005</x:v>
      </x:c>
      <x:c r="B48" s="36" t="str">
        <x:v>2026</x:v>
      </x:c>
      <x:c r="C48" s="34" t="str">
        <x:v>Khalikov et al.</x:v>
      </x:c>
      <x:c r="D48" s="34" t="str">
        <x:v>Wearable optomyography enables continuous neuroprosthetic control</x:v>
      </x:c>
      <x:c r="E48" s="34" t="str">
        <x:v>Scientific Reports</x:v>
      </x:c>
      <x:c r="F48" s="34" t="str">
        <x:v>https://www.nature.com/articles/s41598-025-32646-y</x:v>
      </x:c>
      <x:c r="G48" s="34" t="str">
        <x:v>Wearable observability</x:v>
      </x:c>
      <x:c r="H48" s="34" t="str">
        <x:v>Neuroprosthetic control</x:v>
      </x:c>
      <x:c r="I48" s="34" t="str">
        <x:v>Optomyography wristband</x:v>
      </x:c>
      <x:c r="J48" s="34" t="str">
        <x:v>Optical muscle-deformation decoding</x:v>
      </x:c>
      <x:c r="K48" s="34" t="str">
        <x:v>User calibration</x:v>
      </x:c>
      <x:c r="L48" s="34" t="str">
        <x:v>continuous</x:v>
      </x:c>
      <x:c r="M48" s="34" t="str">
        <x:v>neuroprosthetic_control</x:v>
      </x:c>
      <x:c r="N48" s="34" t="str">
        <x:v>Human interface experiments</x:v>
      </x:c>
      <x:c r="O48" s="36" t="str">
        <x:v>twin_enabling</x:v>
      </x:c>
      <x:c r="P48" s="36" t="str">
        <x:v>metadata_and_abstract_verified</x:v>
      </x:c>
      <x:c r="Q48" s="36" t="str">
        <x:v>adjacent</x:v>
      </x:c>
      <x:c r="R48" s="34" t="str">
        <x:v>Alternative muscle-state channel; lacks explicit NMS physics.</x:v>
      </x:c>
    </x:row>
    <x:row r="49" ht="48" customHeight="1">
      <x:c r="A49" s="36" t="str">
        <x:v>WEA006</x:v>
      </x:c>
      <x:c r="B49" s="36" t="str">
        <x:v>2025</x:v>
      </x:c>
      <x:c r="C49" s="34" t="str">
        <x:v>Feng; Zhu; Wu; Li; Han</x:v>
      </x:c>
      <x:c r="D49" s="34" t="str">
        <x:v>Self-Aware Fusion IMU-EMG Attention Dependence for Knee Adduction Moment Estimation During Walking</x:v>
      </x:c>
      <x:c r="E49" s="34" t="str">
        <x:v>IEEE Journal of Biomedical and Health Informatics</x:v>
      </x:c>
      <x:c r="F49" s="34" t="str">
        <x:v>https://doi.org/10.1109/JBHI.2025.3564981</x:v>
      </x:c>
      <x:c r="G49" s="34" t="str">
        <x:v>Wearable observability</x:v>
      </x:c>
      <x:c r="H49" s="34" t="str">
        <x:v>Knee OA-relevant walking biomechanics</x:v>
      </x:c>
      <x:c r="I49" s="34" t="str">
        <x:v>IMU and surface EMG</x:v>
      </x:c>
      <x:c r="J49" s="34" t="str">
        <x:v>Multimodal attention model for KAM</x:v>
      </x:c>
      <x:c r="K49" s="34" t="str">
        <x:v>Data-driven subject mix</x:v>
      </x:c>
      <x:c r="L49" s="34" t="str">
        <x:v>Offline/real-time target</x:v>
      </x:c>
      <x:c r="M49" s="34" t="str">
        <x:v>Monitoring</x:v>
      </x:c>
      <x:c r="N49" s="34" t="str">
        <x:v>Eighteen-subject evaluation</x:v>
      </x:c>
      <x:c r="O49" s="36" t="str">
        <x:v>twin_enabling</x:v>
      </x:c>
      <x:c r="P49" s="36" t="str">
        <x:v>metadata_and_abstract_verified</x:v>
      </x:c>
      <x:c r="Q49" s="36" t="str">
        <x:v>adjacent</x:v>
      </x:c>
      <x:c r="R49" s="34" t="str">
        <x:v>Representative multimodal wearable estimator; latent NMS state remains implicit.</x:v>
      </x:c>
    </x:row>
    <x:row r="50" ht="48" customHeight="1">
      <x:c r="A50" s="36" t="str">
        <x:v>WEA007</x:v>
      </x:c>
      <x:c r="B50" s="36" t="str">
        <x:v>2026</x:v>
      </x:c>
      <x:c r="C50" s="34" t="str">
        <x:v>Sabaty et al.</x:v>
      </x:c>
      <x:c r="D50" s="34" t="str">
        <x:v>Novel Deep Learning Model to Estimate Knee Flexion and Adduction Moments With Wearable IMUs During Treadmill and Overground Walking</x:v>
      </x:c>
      <x:c r="E50" s="34" t="str">
        <x:v>IEEE Journal of Biomedical and Health Informatics</x:v>
      </x:c>
      <x:c r="F50" s="34" t="str">
        <x:v>https://doi.org/10.1109/JBHI.2025.3584389</x:v>
      </x:c>
      <x:c r="G50" s="34" t="str">
        <x:v>Wearable observability</x:v>
      </x:c>
      <x:c r="H50" s="34" t="str">
        <x:v>Post-total-knee-replacement gait</x:v>
      </x:c>
      <x:c r="I50" s="34" t="str">
        <x:v>Wearable IMUs</x:v>
      </x:c>
      <x:c r="J50" s="34" t="str">
        <x:v>Deep joint-moment estimator</x:v>
      </x:c>
      <x:c r="K50" s="34" t="str">
        <x:v>Population-trained</x:v>
      </x:c>
      <x:c r="L50" s="34" t="str">
        <x:v>Offline/real-time target</x:v>
      </x:c>
      <x:c r="M50" s="34" t="str">
        <x:v>Monitoring</x:v>
      </x:c>
      <x:c r="N50" s="34" t="str">
        <x:v>Treadmill and overground validation</x:v>
      </x:c>
      <x:c r="O50" s="36" t="str">
        <x:v>twin_enabling</x:v>
      </x:c>
      <x:c r="P50" s="36" t="str">
        <x:v>metadata_and_abstract_verified</x:v>
      </x:c>
      <x:c r="Q50" s="36" t="str">
        <x:v>adjacent</x:v>
      </x:c>
      <x:c r="R50" s="34" t="str">
        <x:v>Useful field kinetics but no explicit neural/muscle layer.</x:v>
      </x:c>
    </x:row>
    <x:row r="51" ht="48" customHeight="1">
      <x:c r="A51" s="36" t="str">
        <x:v>ROB001</x:v>
      </x:c>
      <x:c r="B51" s="36" t="str">
        <x:v>2019</x:v>
      </x:c>
      <x:c r="C51" s="34" t="str">
        <x:v>Durandau et al.</x:v>
      </x:c>
      <x:c r="D51" s="34" t="str">
        <x:v>Voluntary control of wearable robotic exoskeletons by patients with paresis via neuromechanical modeling</x:v>
      </x:c>
      <x:c r="E51" s="34" t="str">
        <x:v>Journal of NeuroEngineering and Rehabilitation</x:v>
      </x:c>
      <x:c r="F51" s="34" t="str">
        <x:v>https://doi.org/10.1186/s12984-019-0559-z</x:v>
      </x:c>
      <x:c r="G51" s="34" t="str">
        <x:v>Assistive robotics</x:v>
      </x:c>
      <x:c r="H51" s="34" t="str">
        <x:v>Post-stroke and incomplete SCI</x:v>
      </x:c>
      <x:c r="I51" s="34" t="str">
        <x:v>Surface EMG; exoskeleton sensors</x:v>
      </x:c>
      <x:c r="J51" s="34" t="str">
        <x:v>Patient-specific real-time EMG-driven NMS HMI</x:v>
      </x:c>
      <x:c r="K51" s="34" t="str">
        <x:v>Patient-specific</x:v>
      </x:c>
      <x:c r="L51" s="34" t="str">
        <x:v>real_time</x:v>
      </x:c>
      <x:c r="M51" s="34" t="str">
        <x:v>assistive_control</x:v>
      </x:c>
      <x:c r="N51" s="34" t="str">
        <x:v>Patient feasibility experiments</x:v>
      </x:c>
      <x:c r="O51" s="36" t="str">
        <x:v>twin_enabling</x:v>
      </x:c>
      <x:c r="P51" s="36" t="str">
        <x:v>full_text_sections_verified</x:v>
      </x:c>
      <x:c r="Q51" s="36" t="str">
        <x:v>core</x:v>
      </x:c>
      <x:c r="R51" s="34" t="str">
        <x:v>Strongest patient-facing closed-loop work in the Durandau-Sartori line.</x:v>
      </x:c>
    </x:row>
    <x:row r="52" ht="48" customHeight="1">
      <x:c r="A52" s="36" t="str">
        <x:v>ROB002</x:v>
      </x:c>
      <x:c r="B52" s="36" t="str">
        <x:v>2018</x:v>
      </x:c>
      <x:c r="C52" s="34" t="str">
        <x:v>Sartori; Durandau; Dosen; Farina</x:v>
      </x:c>
      <x:c r="D52" s="34" t="str">
        <x:v>Robust simultaneous myoelectric control of multiple degrees of freedom in wrist-hand prostheses by real-time neuromusculoskeletal modeling</x:v>
      </x:c>
      <x:c r="E52" s="34" t="str">
        <x:v>Journal of Neural Engineering</x:v>
      </x:c>
      <x:c r="F52" s="34" t="str">
        <x:v>https://doi.org/10.1088/1741-2552/aae26b</x:v>
      </x:c>
      <x:c r="G52" s="34" t="str">
        <x:v>Assistive robotics</x:v>
      </x:c>
      <x:c r="H52" s="34" t="str">
        <x:v>Intact participants and transradial amputee</x:v>
      </x:c>
      <x:c r="I52" s="34" t="str">
        <x:v>Surface EMG</x:v>
      </x:c>
      <x:c r="J52" s="34" t="str">
        <x:v>Real-time personalized NMS prosthesis interface</x:v>
      </x:c>
      <x:c r="K52" s="34" t="str">
        <x:v>Individual phantom-limb model</x:v>
      </x:c>
      <x:c r="L52" s="34" t="str">
        <x:v>real_time</x:v>
      </x:c>
      <x:c r="M52" s="34" t="str">
        <x:v>prosthetic_control</x:v>
      </x:c>
      <x:c r="N52" s="34" t="str">
        <x:v>Online human experiments</x:v>
      </x:c>
      <x:c r="O52" s="36" t="str">
        <x:v>twin_enabling</x:v>
      </x:c>
      <x:c r="P52" s="36" t="str">
        <x:v>metadata_and_abstract_verified</x:v>
      </x:c>
      <x:c r="Q52" s="36" t="str">
        <x:v>core</x:v>
      </x:c>
      <x:c r="R52" s="34" t="str">
        <x:v>Physiological model constrains commands and improves robustness.</x:v>
      </x:c>
    </x:row>
    <x:row r="53" ht="48" customHeight="1">
      <x:c r="A53" s="36" t="str">
        <x:v>ROB003</x:v>
      </x:c>
      <x:c r="B53" s="36" t="str">
        <x:v>2020</x:v>
      </x:c>
      <x:c r="C53" s="34" t="str">
        <x:v>Lotti et al.</x:v>
      </x:c>
      <x:c r="D53" s="34" t="str">
        <x:v>Adaptive Model-Based Myoelectric Control for a Soft Wearable Arm Exosuit: A New Generation of Wearable Robot Control</x:v>
      </x:c>
      <x:c r="E53" s="34" t="str">
        <x:v>IEEE Robotics &amp; Automation Magazine</x:v>
      </x:c>
      <x:c r="F53" s="34" t="str">
        <x:v>https://doi.org/10.1109/MRA.2019.2955669</x:v>
      </x:c>
      <x:c r="G53" s="34" t="str">
        <x:v>Assistive robotics</x:v>
      </x:c>
      <x:c r="H53" s="34" t="str">
        <x:v>Healthy upper limb</x:v>
      </x:c>
      <x:c r="I53" s="34" t="str">
        <x:v>EMG; joint and exosuit state</x:v>
      </x:c>
      <x:c r="J53" s="34" t="str">
        <x:v>Model-based adaptive myoelectric controller</x:v>
      </x:c>
      <x:c r="K53" s="34" t="str">
        <x:v>Subject-specific model</x:v>
      </x:c>
      <x:c r="L53" s="34" t="str">
        <x:v>real_time</x:v>
      </x:c>
      <x:c r="M53" s="34" t="str">
        <x:v>assistive_control</x:v>
      </x:c>
      <x:c r="N53" s="34" t="str">
        <x:v>Six-subject experiments</x:v>
      </x:c>
      <x:c r="O53" s="36" t="str">
        <x:v>twin_enabling</x:v>
      </x:c>
      <x:c r="P53" s="36" t="str">
        <x:v>metadata_and_abstract_verified</x:v>
      </x:c>
      <x:c r="Q53" s="36" t="str">
        <x:v>core</x:v>
      </x:c>
      <x:c r="R53" s="34" t="str">
        <x:v>Demonstrates task/load-adaptive assistance via NMS state estimation.</x:v>
      </x:c>
    </x:row>
    <x:row r="54" ht="48" customHeight="1">
      <x:c r="A54" s="36" t="str">
        <x:v>ROB004</x:v>
      </x:c>
      <x:c r="B54" s="36" t="str">
        <x:v>2019</x:v>
      </x:c>
      <x:c r="C54" s="34" t="str">
        <x:v>Pizzolato et al.</x:v>
      </x:c>
      <x:c r="D54" s="34" t="str">
        <x:v>Neuromusculoskeletal Modeling-Based Prostheses for Recovery After Spinal Cord Injury</x:v>
      </x:c>
      <x:c r="E54" s="34" t="str">
        <x:v>Frontiers in Neurorobotics</x:v>
      </x:c>
      <x:c r="F54" s="34" t="str">
        <x:v>https://doi.org/10.3389/fnbot.2019.00097</x:v>
      </x:c>
      <x:c r="G54" s="34" t="str">
        <x:v>Assistive robotics</x:v>
      </x:c>
      <x:c r="H54" s="34" t="str">
        <x:v>Spinal cord injury</x:v>
      </x:c>
      <x:c r="I54" s="34" t="str">
        <x:v>EMG/BCI/FES and biomechanical data</x:v>
      </x:c>
      <x:c r="J54" s="34" t="str">
        <x:v>NMS-based neural restoration framework</x:v>
      </x:c>
      <x:c r="K54" s="34" t="str">
        <x:v>Patient-specific proposed</x:v>
      </x:c>
      <x:c r="L54" s="34" t="str">
        <x:v>Real-time proposed</x:v>
      </x:c>
      <x:c r="M54" s="34" t="str">
        <x:v>closed_loop_neuroprosthesis</x:v>
      </x:c>
      <x:c r="N54" s="34" t="str">
        <x:v>Perspective/framework</x:v>
      </x:c>
      <x:c r="O54" s="36" t="str">
        <x:v>review</x:v>
      </x:c>
      <x:c r="P54" s="36" t="str">
        <x:v>metadata_and_abstract_verified</x:v>
      </x:c>
      <x:c r="Q54" s="36" t="str">
        <x:v>core</x:v>
      </x:c>
      <x:c r="R54" s="34" t="str">
        <x:v>Pizzolato line's explicit blueprint for neural restoration and model-based prostheses.</x:v>
      </x:c>
    </x:row>
    <x:row r="55" ht="48" customHeight="1">
      <x:c r="A55" s="36" t="str">
        <x:v>ROB005</x:v>
      </x:c>
      <x:c r="B55" s="36" t="str">
        <x:v>2017</x:v>
      </x:c>
      <x:c r="C55" s="34" t="str">
        <x:v>Zhang et al.</x:v>
      </x:c>
      <x:c r="D55" s="34" t="str">
        <x:v>Human-in-the-loop optimization of exoskeleton assistance during walking</x:v>
      </x:c>
      <x:c r="E55" s="34" t="str">
        <x:v>Science</x:v>
      </x:c>
      <x:c r="F55" s="34" t="str">
        <x:v>https://doi.org/10.1126/science.aal5054</x:v>
      </x:c>
      <x:c r="G55" s="34" t="str">
        <x:v>Assistive personalization</x:v>
      </x:c>
      <x:c r="H55" s="34" t="str">
        <x:v>Healthy walking/running</x:v>
      </x:c>
      <x:c r="I55" s="34" t="str">
        <x:v>Metabolic rate; EMG; device data</x:v>
      </x:c>
      <x:c r="J55" s="34" t="str">
        <x:v>Human-in-the-loop optimization</x:v>
      </x:c>
      <x:c r="K55" s="34" t="str">
        <x:v>Individual controller parameters</x:v>
      </x:c>
      <x:c r="L55" s="34" t="str">
        <x:v>Iterative online</x:v>
      </x:c>
      <x:c r="M55" s="34" t="str">
        <x:v>assistive_control</x:v>
      </x:c>
      <x:c r="N55" s="34" t="str">
        <x:v>Human experiments across conditions</x:v>
      </x:c>
      <x:c r="O55" s="36" t="str">
        <x:v>twin_enabling</x:v>
      </x:c>
      <x:c r="P55" s="36" t="str">
        <x:v>metadata_and_abstract_verified</x:v>
      </x:c>
      <x:c r="Q55" s="36" t="str">
        <x:v>core</x:v>
      </x:c>
      <x:c r="R55" s="34" t="str">
        <x:v>Key comparator: effective personalization without an explicit NMS twin.</x:v>
      </x:c>
    </x:row>
    <x:row r="56" ht="48" customHeight="1">
      <x:c r="A56" s="36" t="str">
        <x:v>ROB006</x:v>
      </x:c>
      <x:c r="B56" s="36" t="str">
        <x:v>2022</x:v>
      </x:c>
      <x:c r="C56" s="34" t="str">
        <x:v>Slade; Kochenderfer; Delp; Collins</x:v>
      </x:c>
      <x:c r="D56" s="34" t="str">
        <x:v>Personalizing exoskeleton assistance while walking in the real world</x:v>
      </x:c>
      <x:c r="E56" s="34" t="str">
        <x:v>Nature</x:v>
      </x:c>
      <x:c r="F56" s="34" t="str">
        <x:v>https://doi.org/10.1038/s41586-022-05191-1</x:v>
      </x:c>
      <x:c r="G56" s="34" t="str">
        <x:v>Assistive personalization</x:v>
      </x:c>
      <x:c r="H56" s="34" t="str">
        <x:v>Healthy real-world walking</x:v>
      </x:c>
      <x:c r="I56" s="34" t="str">
        <x:v>Wearable exoskeleton kinematics and portable metabolics</x:v>
      </x:c>
      <x:c r="J56" s="34" t="str">
        <x:v>Data-driven opportunistic optimization</x:v>
      </x:c>
      <x:c r="K56" s="34" t="str">
        <x:v>Individual assistance</x:v>
      </x:c>
      <x:c r="L56" s="34" t="str">
        <x:v>continuous/real_world</x:v>
      </x:c>
      <x:c r="M56" s="34" t="str">
        <x:v>assistive_control</x:v>
      </x:c>
      <x:c r="N56" s="34" t="str">
        <x:v>Ten-participant outdoor and treadmill experiments</x:v>
      </x:c>
      <x:c r="O56" s="36" t="str">
        <x:v>twin_enabling</x:v>
      </x:c>
      <x:c r="P56" s="36" t="str">
        <x:v>full_text_sections_verified</x:v>
      </x:c>
      <x:c r="Q56" s="36" t="str">
        <x:v>core</x:v>
      </x:c>
      <x:c r="R56" s="34" t="str">
        <x:v>Real-world adaptive benchmark; internal physiology is inferred rather than explicitly modeled.</x:v>
      </x:c>
    </x:row>
    <x:row r="57" ht="48" customHeight="1">
      <x:c r="A57" s="36" t="str">
        <x:v>ROB007</x:v>
      </x:c>
      <x:c r="B57" s="36" t="str">
        <x:v>2023</x:v>
      </x:c>
      <x:c r="C57" s="34" t="str">
        <x:v>Luo; Androwis; Adamovich; Nunez; Su; Zhou</x:v>
      </x:c>
      <x:c r="D57" s="34" t="str">
        <x:v>Robust walking control of a lower limb rehabilitation exoskeleton coupled with a musculoskeletal model via deep reinforcement learning</x:v>
      </x:c>
      <x:c r="E57" s="34" t="str">
        <x:v>Journal of NeuroEngineering and Rehabilitation</x:v>
      </x:c>
      <x:c r="F57" s="34" t="str">
        <x:v>https://doi.org/10.1186/s12984-023-01147-2</x:v>
      </x:c>
      <x:c r="G57" s="34" t="str">
        <x:v>Assistive robotics</x:v>
      </x:c>
      <x:c r="H57" s="34" t="str">
        <x:v>Lower-limb rehabilitation</x:v>
      </x:c>
      <x:c r="I57" s="34" t="str">
        <x:v>Exoskeleton and simulated human states</x:v>
      </x:c>
      <x:c r="J57" s="34" t="str">
        <x:v>Musculoskeletal model plus deep RL</x:v>
      </x:c>
      <x:c r="K57" s="34" t="str">
        <x:v>Model parameters</x:v>
      </x:c>
      <x:c r="L57" s="34" t="str">
        <x:v>Simulation/robot loop</x:v>
      </x:c>
      <x:c r="M57" s="34" t="str">
        <x:v>assistive_control</x:v>
      </x:c>
      <x:c r="N57" s="34" t="str">
        <x:v>Simulation and hardware-oriented evaluation</x:v>
      </x:c>
      <x:c r="O57" s="36" t="str">
        <x:v>twin_enabling</x:v>
      </x:c>
      <x:c r="P57" s="36" t="str">
        <x:v>metadata_and_abstract_verified</x:v>
      </x:c>
      <x:c r="Q57" s="36" t="str">
        <x:v>core</x:v>
      </x:c>
      <x:c r="R57" s="34" t="str">
        <x:v>Direct NMS-robot-RL coupling; clinical patient validation is limited.</x:v>
      </x:c>
    </x:row>
    <x:row r="58" ht="48" customHeight="1">
      <x:c r="A58" s="36" t="str">
        <x:v>ROB008</x:v>
      </x:c>
      <x:c r="B58" s="36" t="str">
        <x:v>2016</x:v>
      </x:c>
      <x:c r="C58" s="34" t="str">
        <x:v>Ma; Xie; Zhang</x:v>
      </x:c>
      <x:c r="D58" s="34" t="str">
        <x:v>A patient-specific EMG-driven neuromuscular model for the potential use of human-inspired gait rehabilitation robots</x:v>
      </x:c>
      <x:c r="E58" s="34" t="str">
        <x:v>Computers in Biology and Medicine</x:v>
      </x:c>
      <x:c r="F58" s="34" t="str">
        <x:v>https://doi.org/10.1016/j.compbiomed.2016.01.001</x:v>
      </x:c>
      <x:c r="G58" s="34" t="str">
        <x:v>Assistive robotics</x:v>
      </x:c>
      <x:c r="H58" s="34" t="str">
        <x:v>Adolescent gait</x:v>
      </x:c>
      <x:c r="I58" s="34" t="str">
        <x:v>Two-channel EMG; kinematics; GRF</x:v>
      </x:c>
      <x:c r="J58" s="34" t="str">
        <x:v>Reduced real-time patient-specific NMS model</x:v>
      </x:c>
      <x:c r="K58" s="34" t="str">
        <x:v>Patient muscle kinematics</x:v>
      </x:c>
      <x:c r="L58" s="34" t="str">
        <x:v>real_time_capable</x:v>
      </x:c>
      <x:c r="M58" s="34" t="str">
        <x:v>assistive_control_target</x:v>
      </x:c>
      <x:c r="N58" s="34" t="str">
        <x:v>Six-participant evaluation</x:v>
      </x:c>
      <x:c r="O58" s="36" t="str">
        <x:v>twin_enabling</x:v>
      </x:c>
      <x:c r="P58" s="36" t="str">
        <x:v>metadata_and_abstract_verified</x:v>
      </x:c>
      <x:c r="Q58" s="36" t="str">
        <x:v>core</x:v>
      </x:c>
      <x:c r="R58" s="34" t="str">
        <x:v>Early patient-specific real-time design for robot control.</x:v>
      </x:c>
    </x:row>
    <x:row r="59" ht="48" customHeight="1">
      <x:c r="A59" s="36" t="str">
        <x:v>ROB009</x:v>
      </x:c>
      <x:c r="B59" s="36" t="str">
        <x:v>2018</x:v>
      </x:c>
      <x:c r="C59" s="34" t="str">
        <x:v>Cheng; Sui; Sayenko; Burdick</x:v>
      </x:c>
      <x:c r="D59" s="34" t="str">
        <x:v>On Muscle Activation for Improving Robotic Rehabilitation after Spinal Cord Injury</x:v>
      </x:c>
      <x:c r="E59" s="34" t="str">
        <x:v>IROS</x:v>
      </x:c>
      <x:c r="F59" s="34" t="str">
        <x:v>https://doi.org/10.1109/IROS.2018.8593973</x:v>
      </x:c>
      <x:c r="G59" s="34" t="str">
        <x:v>Rehabilitation control</x:v>
      </x:c>
      <x:c r="H59" s="34" t="str">
        <x:v>Spinal cord injury</x:v>
      </x:c>
      <x:c r="I59" s="34" t="str">
        <x:v>Muscle activation and robot interaction</x:v>
      </x:c>
      <x:c r="J59" s="34" t="str">
        <x:v>Muscle-activation-aware rehabilitation analysis/control</x:v>
      </x:c>
      <x:c r="K59" s="34" t="str">
        <x:v>Patient impairment focus</x:v>
      </x:c>
      <x:c r="L59" s="34" t="str">
        <x:v>Session-level</x:v>
      </x:c>
      <x:c r="M59" s="34" t="str">
        <x:v>robotic_rehabilitation</x:v>
      </x:c>
      <x:c r="N59" s="34" t="str">
        <x:v>Clinical/robotic experimental study</x:v>
      </x:c>
      <x:c r="O59" s="36" t="str">
        <x:v>twin_enabling</x:v>
      </x:c>
      <x:c r="P59" s="36" t="str">
        <x:v>metadata_verified</x:v>
      </x:c>
      <x:c r="Q59" s="36" t="str">
        <x:v>core</x:v>
      </x:c>
      <x:c r="R59" s="34" t="str">
        <x:v>Early Yanan Sui rehabilitation link; complements later simulation-centric work.</x:v>
      </x:c>
    </x:row>
    <x:row r="60" ht="135" customHeight="1">
      <x:c r="A60" s="36" t="str">
        <x:v>ROB010</x:v>
      </x:c>
      <x:c r="B60" s="36" t="n">
        <x:v>2025</x:v>
      </x:c>
      <x:c r="C60" s="34" t="str">
        <x:v>Massimo Sartori; Mohamed I. Refai; Lucas Avanci Gaudio; Christopher P. Cop; Donatella Simonetti; Federica Damonte; Matthew Hambly; David G. Lloyd; Claudio Pizzolato; Guillaume Durandau</x:v>
      </x:c>
      <x:c r="D60" s="34" t="str">
        <x:v>CEINMS-RT: An Open-Source Framework for the Continuous Neuro-Mechanical Model-Based Control of Wearable Robots</x:v>
      </x:c>
      <x:c r="E60" s="34" t="str">
        <x:v>IEEE Transactions on Medical Robotics and Bionics</x:v>
      </x:c>
      <x:c r="F60" s="34" t="str">
        <x:v>https://doi.org/10.1109/TMRB.2025.3643986</x:v>
      </x:c>
      <x:c r="G60" s="34" t="str">
        <x:v>Assistive robotics infrastructure</x:v>
      </x:c>
      <x:c r="H60" s="34" t="str">
        <x:v>Wearable robots</x:v>
      </x:c>
      <x:c r="I60" s="34" t="str">
        <x:v>EMG; kinematics; device state</x:v>
      </x:c>
      <x:c r="J60" s="34" t="str">
        <x:v>Open-source real-time CEINMS framework</x:v>
      </x:c>
      <x:c r="K60" s="34" t="str">
        <x:v>Subject-specific and continuous</x:v>
      </x:c>
      <x:c r="L60" s="34" t="str">
        <x:v>continuous</x:v>
      </x:c>
      <x:c r="M60" s="34" t="str">
        <x:v>assistive_control</x:v>
      </x:c>
      <x:c r="N60" s="34" t="str">
        <x:v>Peer-reviewed software and real-time modeling evaluation</x:v>
      </x:c>
      <x:c r="O60" s="36" t="str">
        <x:v>twin_enabling</x:v>
      </x:c>
      <x:c r="P60" s="36" t="str">
        <x:v>metadata_and_abstract_verified</x:v>
      </x:c>
      <x:c r="Q60" s="36" t="str">
        <x:v>core</x:v>
      </x:c>
      <x:c r="R60" s="34" t="str">
        <x:v>Corrected 2026-10-01 from preprint to journal record. Early online 2025-12-15; issue 2026-03-09, 8(1):405-417. Year retains early-online convention (2025). Source: University of Twente publication record and IEEE DOI. Not a September-new study.</x:v>
      </x:c>
    </x:row>
    <x:row r="61" ht="48" customHeight="1">
      <x:c r="A61" s="36" t="str">
        <x:v>ROB011</x:v>
      </x:c>
      <x:c r="B61" s="36" t="str">
        <x:v>2025</x:v>
      </x:c>
      <x:c r="C61" s="34" t="str">
        <x:v>Kang et al.</x:v>
      </x:c>
      <x:c r="D61" s="34" t="str">
        <x:v>Online Adaptation Framework Enables Personalization of Exoskeleton Assistance During Locomotion in Patients Affected by Stroke</x:v>
      </x:c>
      <x:c r="E61" s="34" t="str">
        <x:v>IEEE Transactions on Robotics</x:v>
      </x:c>
      <x:c r="F61" s="34" t="str">
        <x:v>https://doi.org/10.1109/TRO.2025.3595701</x:v>
      </x:c>
      <x:c r="G61" s="34" t="str">
        <x:v>Assistive personalization</x:v>
      </x:c>
      <x:c r="H61" s="34" t="str">
        <x:v>People after stroke</x:v>
      </x:c>
      <x:c r="I61" s="34" t="str">
        <x:v>Exoskeleton and locomotion data</x:v>
      </x:c>
      <x:c r="J61" s="34" t="str">
        <x:v>Online adaptive assistance framework</x:v>
      </x:c>
      <x:c r="K61" s="34" t="str">
        <x:v>Patient-specific controller</x:v>
      </x:c>
      <x:c r="L61" s="34" t="str">
        <x:v>continuous</x:v>
      </x:c>
      <x:c r="M61" s="34" t="str">
        <x:v>assistive_control</x:v>
      </x:c>
      <x:c r="N61" s="34" t="str">
        <x:v>Patient locomotion experiments</x:v>
      </x:c>
      <x:c r="O61" s="36" t="str">
        <x:v>twin_enabling</x:v>
      </x:c>
      <x:c r="P61" s="36" t="str">
        <x:v>metadata_and_abstract_verified</x:v>
      </x:c>
      <x:c r="Q61" s="36" t="str">
        <x:v>core</x:v>
      </x:c>
      <x:c r="R61" s="34" t="str">
        <x:v>Priority TRO clinical adaptation paper; biological NMS state is not fully explicit.</x:v>
      </x:c>
    </x:row>
    <x:row r="62" ht="160" customHeight="1">
      <x:c r="A62" s="266" t="str">
        <x:v>NMS020</x:v>
      </x:c>
      <x:c r="B62" s="266" t="n">
        <x:v>2026</x:v>
      </x:c>
      <x:c r="C62" s="266" t="str">
        <x:v>Alireza Y. Bavil; Ayda Karimi Dastgerdi; Rod S. Barrett; Bradley M. Cornish; Matthew J. Hambly; Matthew Carrall-Worsey; Claudio Pizzolato; Amir Esrafilian; Dale Robinson; Laurent Frossard; David John Saxby; Stefanie Feih; Christopher P. Carty; David G. Lloyd</x:v>
      </x:c>
      <x:c r="D62" s="266" t="str">
        <x:v>Evidence-informed methodological approaches for coupled neuromusculoskeletal-finite element analysis workflows in orthopaedic biomechanics</x:v>
      </x:c>
      <x:c r="E62" s="266" t="str">
        <x:v>Frontiers in Bioengineering and Biotechnology</x:v>
      </x:c>
      <x:c r="F62" s="266" t="str">
        <x:v>https://doi.org/10.3389/fbioe.2026.1875782</x:v>
      </x:c>
      <x:c r="G62" s="266" t="str">
        <x:v>Multiscale personalization</x:v>
      </x:c>
      <x:c r="H62" s="266" t="str">
        <x:v>Orthopaedic surgical planning</x:v>
      </x:c>
      <x:c r="I62" s="266" t="str">
        <x:v>Anatomy; movement; physiological loading</x:v>
      </x:c>
      <x:c r="J62" s="266" t="str">
        <x:v>Coupled NMSK-FEA workflow recommendations and case exemplars</x:v>
      </x:c>
      <x:c r="K62" s="266" t="str">
        <x:v>Patient geometry and loading</x:v>
      </x:c>
      <x:c r="L62" s="266" t="str">
        <x:v>offline</x:v>
      </x:c>
      <x:c r="M62" s="266" t="str">
        <x:v>Surgical decision-support methodology</x:v>
      </x:c>
      <x:c r="N62" s="266" t="str">
        <x:v>Methods paper with ACL reconstruction and femoral osteotomy exemplars</x:v>
      </x:c>
      <x:c r="O62" s="266" t="str">
        <x:v>twin_enabling</x:v>
      </x:c>
      <x:c r="P62" s="266" t="str">
        <x:v>metadata_and_abstract_verified</x:v>
      </x:c>
      <x:c r="Q62" s="266" t="str">
        <x:v>core</x:v>
      </x:c>
      <x:c r="R62" s="266" t="str">
        <x:v>Published 2026-09-03. Prospective outcome validation remains a future step; methodological guidance is not a validated longitudinal twin.</x:v>
      </x:c>
    </x:row>
    <x:row r="63" ht="110" customHeight="1">
      <x:c r="A63" s="266" t="str">
        <x:v>NMS021</x:v>
      </x:c>
      <x:c r="B63" s="266" t="n">
        <x:v>2026</x:v>
      </x:c>
      <x:c r="C63" s="266" t="str">
        <x:v>Yujia Gao; Shitan Wang; Yufeng Lin; Zilin Wang; Chenglong Feng; Lu Xiao; Chenghua Jiang; Wenxin Niu</x:v>
      </x:c>
      <x:c r="D63" s="266" t="str">
        <x:v>Coupled Neuromusculoskeletal Finite Element Simulation Reveals Biomechanical Adaptation and Joint Tissue Risk of Ankle Exoskeleton Intervention after Stroke</x:v>
      </x:c>
      <x:c r="E63" s="266" t="str">
        <x:v>Soft Robotics</x:v>
      </x:c>
      <x:c r="F63" s="266" t="str">
        <x:v>https://doi.org/10.1177/21695172261486297</x:v>
      </x:c>
      <x:c r="G63" s="266" t="str">
        <x:v>Multiscale personalization</x:v>
      </x:c>
      <x:c r="H63" s="266" t="str">
        <x:v>Eight male chronic-stroke participants; two-week intervention</x:v>
      </x:c>
      <x:c r="I63" s="266" t="str">
        <x:v>Pre/post biomechanical data</x:v>
      </x:c>
      <x:c r="J63" s="266" t="str">
        <x:v>Synergy-informed NMS simulation coupled to personalized FE analysis</x:v>
      </x:c>
      <x:c r="K63" s="266" t="str">
        <x:v>Personalized FE model</x:v>
      </x:c>
      <x:c r="L63" s="266" t="str">
        <x:v>episodic</x:v>
      </x:c>
      <x:c r="M63" s="266" t="str">
        <x:v>Offline assessment of exoskeleton intervention</x:v>
      </x:c>
      <x:c r="N63" s="266" t="str">
        <x:v>Patient cohort plus model-derived internal loading</x:v>
      </x:c>
      <x:c r="O63" s="266" t="str">
        <x:v>twin_enabling</x:v>
      </x:c>
      <x:c r="P63" s="266" t="str">
        <x:v>metadata_and_abstract_verified</x:v>
      </x:c>
      <x:c r="Q63" s="266" t="str">
        <x:v>core</x:v>
      </x:c>
      <x:c r="R63" s="266" t="str">
        <x:v>Published 2026-09-06. Predicted tissue loading is not direct evidence of degeneration. Abstract verified; full-text risk-of-bias and tissue validation pending.</x:v>
      </x:c>
    </x:row>
    <x:row r="64" ht="110" customHeight="1">
      <x:c r="A64" s="266" t="str">
        <x:v>ROB012</x:v>
      </x:c>
      <x:c r="B64" s="266" t="n">
        <x:v>2026</x:v>
      </x:c>
      <x:c r="C64" s="266" t="str">
        <x:v>Tiago Coelho-Magalhães; Christine Azevedo-Coste; Henrique Resende-Martins; François Bailly</x:v>
      </x:c>
      <x:c r="D64" s="266" t="str">
        <x:v>Personalized FES-cycling patterns via optimal control: from musculoskeletal simulation to experimental validation</x:v>
      </x:c>
      <x:c r="E64" s="266" t="str">
        <x:v>Journal of NeuroEngineering and Rehabilitation</x:v>
      </x:c>
      <x:c r="F64" s="266" t="str">
        <x:v>https://doi.org/10.1186/s12984-026-02136-x</x:v>
      </x:c>
      <x:c r="G64" s="266" t="str">
        <x:v>Rehabilitation and assistive robotics</x:v>
      </x:c>
      <x:c r="H64" s="266" t="str">
        <x:v>One participant with spinal cord injury</x:v>
      </x:c>
      <x:c r="I64" s="266" t="str">
        <x:v>Evoked contraction calibration; cycling measurements</x:v>
      </x:c>
      <x:c r="J64" s="266" t="str">
        <x:v>Physiological muscle model and trajectory optimization of stimulation pulse duration</x:v>
      </x:c>
      <x:c r="K64" s="266" t="str">
        <x:v>Muscle parameters identified for participant</x:v>
      </x:c>
      <x:c r="L64" s="266" t="str">
        <x:v>offline calibration</x:v>
      </x:c>
      <x:c r="M64" s="266" t="str">
        <x:v>FES stimulation pattern</x:v>
      </x:c>
      <x:c r="N64" s="266" t="str">
        <x:v>Single-participant experimental feasibility</x:v>
      </x:c>
      <x:c r="O64" s="266" t="str">
        <x:v>twin_enabling</x:v>
      </x:c>
      <x:c r="P64" s="266" t="str">
        <x:v>metadata_and_abstract_verified</x:v>
      </x:c>
      <x:c r="Q64" s="266" t="str">
        <x:v>core</x:v>
      </x:c>
      <x:c r="R64" s="266" t="str">
        <x:v>Published 2026-09-04 as peer-reviewed accepted article. Patterns transferred to cycling without empirical modification; not longitudinal clinical efficacy or continuous twin updating.</x:v>
      </x:c>
    </x:row>
    <x:row r="65" ht="110" customHeight="1">
      <x:c r="A65" s="266" t="str">
        <x:v>NEU013</x:v>
      </x:c>
      <x:c r="B65" s="266" t="n">
        <x:v>2026</x:v>
      </x:c>
      <x:c r="C65" s="266" t="str">
        <x:v>Gunwoo Park; Seungwoo Yoon; Friedl De Groote; Seungbum Koo</x:v>
      </x:c>
      <x:c r="D65" s="266" t="str">
        <x:v>Spinal reflexes with dynamic gain modulation contribute to robust walking: a comparative study of simulated neural controllers</x:v>
      </x:c>
      <x:c r="E65" s="266" t="str">
        <x:v>Journal of NeuroEngineering and Rehabilitation</x:v>
      </x:c>
      <x:c r="F65" s="266" t="str">
        <x:v>https://doi.org/10.1186/s12984-026-02157-6</x:v>
      </x:c>
      <x:c r="G65" s="266" t="str">
        <x:v>Neural control and embodied AI</x:v>
      </x:c>
      <x:c r="H65" s="266" t="str">
        <x:v>Simulated human locomotion</x:v>
      </x:c>
      <x:c r="I65" s="266" t="str">
        <x:v>Reference motion; simulated proprioceptive feedback</x:v>
      </x:c>
      <x:c r="J65" s="266" t="str">
        <x:v>Virtual ablation of four neural architectures; PPO; 14-DOF 22-muscle model</x:v>
      </x:c>
      <x:c r="K65" s="266" t="str">
        <x:v>No individual patient binding demonstrated</x:v>
      </x:c>
      <x:c r="L65" s="266" t="str">
        <x:v>simulation</x:v>
      </x:c>
      <x:c r="M65" s="266" t="str">
        <x:v>Simulated muscle excitation control</x:v>
      </x:c>
      <x:c r="N65" s="266" t="str">
        <x:v>Simulation perturbation tests</x:v>
      </x:c>
      <x:c r="O65" s="266" t="str">
        <x:v>simulation_only</x:v>
      </x:c>
      <x:c r="P65" s="266" t="str">
        <x:v>metadata_and_abstract_verified</x:v>
      </x:c>
      <x:c r="Q65" s="266" t="str">
        <x:v>core</x:v>
      </x:c>
      <x:c r="R65" s="266" t="str">
        <x:v>Published 2026-09-22 as peer-reviewed accepted article. Evidence for controller architecture in simulation, not direct proof of human neural mechanisms or patient safety.</x:v>
      </x:c>
    </x:row>
    <x:row r="66" ht="110" customHeight="1">
      <x:c r="A66" s="266" t="str">
        <x:v>ROB013</x:v>
      </x:c>
      <x:c r="B66" s="266" t="n">
        <x:v>2026</x:v>
      </x:c>
      <x:c r="C66" s="266" t="str">
        <x:v>Yifei Yuan; Jakob Wolf; Ghaith Androwis; Xianlian Zhou</x:v>
      </x:c>
      <x:c r="D66" s="266" t="str">
        <x:v>UniExo: Unified Multi-Skill Policies for Musculoskeletal Locomotion and Co-Adaptive Exoskeleton Control</x:v>
      </x:c>
      <x:c r="E66" s="266" t="str">
        <x:v>arXiv preprint</x:v>
      </x:c>
      <x:c r="F66" s="266" t="str">
        <x:v>https://arxiv.org/abs/2609.19690</x:v>
      </x:c>
      <x:c r="G66" s="266" t="str">
        <x:v>Rehabilitation and assistive robotics</x:v>
      </x:c>
      <x:c r="H66" s="266" t="str">
        <x:v>Six participants treadmill; one participant multi-skill route (abstract reports)</x:v>
      </x:c>
      <x:c r="I66" s="266" t="str">
        <x:v>Imitation reference motion; device state</x:v>
      </x:c>
      <x:c r="J66" s="266" t="str">
        <x:v>Expert distillation; multi-agent human/exoskeleton policy training</x:v>
      </x:c>
      <x:c r="K66" s="266" t="str">
        <x:v>Individual NMS calibration not established by abstract</x:v>
      </x:c>
      <x:c r="L66" s="266" t="str">
        <x:v>Device deployment; online patient model update not established</x:v>
      </x:c>
      <x:c r="M66" s="266" t="str">
        <x:v>Hip-exoskeleton assistance</x:v>
      </x:c>
      <x:c r="N66" s="266" t="str">
        <x:v>Simulation and reported human device demonstration</x:v>
      </x:c>
      <x:c r="O66" s="266" t="str">
        <x:v>twin_enabling</x:v>
      </x:c>
      <x:c r="P66" s="266" t="str">
        <x:v>preprint_metadata_verified</x:v>
      </x:c>
      <x:c r="Q66" s="266" t="str">
        <x:v>watch</x:v>
      </x:c>
      <x:c r="R66" s="266" t="str">
        <x:v>Submitted 2026-09-17. Indexed arXiv abstract inspected; direct page unavailable. Co-adaptation is training-stage; no patient recovery claim. Journal DOI and peer review unverified.</x:v>
      </x:c>
    </x:row>
    <x:row r="67" ht="110" customHeight="1">
      <x:c r="A67" s="266" t="str">
        <x:v>EMB006</x:v>
      </x:c>
      <x:c r="B67" s="266" t="n">
        <x:v>2026</x:v>
      </x:c>
      <x:c r="C67" s="266" t="str">
        <x:v>Mengtao Ou; Zongzheng Zhang; Zhenghao Xiao; Yixuan Pan; Ziwen Zhuang; Hang Zhao; Hongyang Li; Yanan Sui; Libin Liu; Hao Zhao</x:v>
      </x:c>
      <x:c r="D67" s="266" t="str">
        <x:v>MSK-Bench: Benchmarking Full-Body Musculoskeletal Motor Control Across Tasks, Control Paradigms, and Physiological Metrics</x:v>
      </x:c>
      <x:c r="E67" s="266" t="str">
        <x:v>arXiv preprint</x:v>
      </x:c>
      <x:c r="F67" s="266" t="str">
        <x:v>https://arxiv.org/abs/2609.26872</x:v>
      </x:c>
      <x:c r="G67" s="266" t="str">
        <x:v>Musculoskeletal embodied AI</x:v>
      </x:c>
      <x:c r="H67" s="266" t="str">
        <x:v>Full-body simulated human; 22 tasks</x:v>
      </x:c>
      <x:c r="I67" s="266" t="str">
        <x:v>Simulated state; motion and physiological reference metrics</x:v>
      </x:c>
      <x:c r="J67" s="266" t="str">
        <x:v>Benchmark across task classes and control paradigms</x:v>
      </x:c>
      <x:c r="K67" s="266" t="str">
        <x:v>No physical-person synchronization established</x:v>
      </x:c>
      <x:c r="L67" s="266" t="str">
        <x:v>simulation</x:v>
      </x:c>
      <x:c r="M67" s="266" t="str">
        <x:v>Simulated muscle-actuated control</x:v>
      </x:c>
      <x:c r="N67" s="266" t="str">
        <x:v>Simulation benchmark; physiology-oriented diagnostics</x:v>
      </x:c>
      <x:c r="O67" s="266" t="str">
        <x:v>simulation_only</x:v>
      </x:c>
      <x:c r="P67" s="266" t="str">
        <x:v>preprint_metadata_verified</x:v>
      </x:c>
      <x:c r="Q67" s="266" t="str">
        <x:v>watch</x:v>
      </x:c>
      <x:c r="R67" s="266" t="str">
        <x:v>Submitted 2026-09-22. Indexed arXiv abstract inspected; direct page unavailable. EMG similarity does not identify unique neural control. Journal DOI and conference acceptance unverified.</x:v>
      </x:c>
    </x:row>
    <x:row r="68" ht="110" customHeight="1">
      <x:c r="A68" s="266" t="str">
        <x:v>WEA008</x:v>
      </x:c>
      <x:c r="B68" s="266" t="n">
        <x:v>2026</x:v>
      </x:c>
      <x:c r="C68" s="266" t="str">
        <x:v>Erica L. King; Connor Delaney; Morgan A. Lamarre; Amad Qureshi; Siddhartha Sikdar; Qi Wei; Parag V. Chitnis</x:v>
      </x:c>
      <x:c r="D68" s="266" t="str">
        <x:v>Comparative Analysis of Muscle Fascia Tracking Algorithms for Real-Time Muscle Monitoring using Wearable Ultrasound</x:v>
      </x:c>
      <x:c r="E68" s="266" t="str">
        <x:v>IEEE Journal of Biomedical and Health Informatics</x:v>
      </x:c>
      <x:c r="F68" s="266" t="str">
        <x:v>https://doi.org/10.1109/JBHI.2026.3734932</x:v>
      </x:c>
      <x:c r="G68" s="266" t="str">
        <x:v>Wearable observability</x:v>
      </x:c>
      <x:c r="H68" s="266" t="str">
        <x:v>Quadriceps isometric activation and squats; 572 images</x:v>
      </x:c>
      <x:c r="I68" s="266" t="str">
        <x:v>Multi-site M-mode wearable ultrasound</x:v>
      </x:c>
      <x:c r="J68" s="266" t="str">
        <x:v>Five fascia-tracking methods compared to expert annotations</x:v>
      </x:c>
      <x:c r="K68" s="266" t="str">
        <x:v>No NMS parameter calibration demonstrated</x:v>
      </x:c>
      <x:c r="L68" s="266" t="str">
        <x:v>Wearable monitoring context</x:v>
      </x:c>
      <x:c r="M68" s="266" t="str">
        <x:v>none</x:v>
      </x:c>
      <x:c r="N68" s="266" t="str">
        <x:v>Image-level fascia tracking validation</x:v>
      </x:c>
      <x:c r="O68" s="266" t="str">
        <x:v>twin_enabling</x:v>
      </x:c>
      <x:c r="P68" s="266" t="str">
        <x:v>metadata_and_abstract_verified</x:v>
      </x:c>
      <x:c r="Q68" s="266" t="str">
        <x:v>adjacent</x:v>
      </x:c>
      <x:c r="R68" s="266" t="str">
        <x:v>Journal online 2026-09-16; July medRxiv predecessor is the same study, not another record. Image count is not participant count; fascia displacement is not muscle force truth.</x:v>
      </x:c>
    </x:row>
  </x:sheetData>
  <x:conditionalFormatting sqref="Q2:Q61">
    <x:cfRule type="containsText" dxfId="0" priority="1" operator="containsText" text="core"/>
    <x:cfRule type="containsText" dxfId="1" priority="2" operator="containsText" text="watch"/>
  </x:conditionalFormatting>
  <x:conditionalFormatting sqref="O2:O61">
    <x:cfRule type="containsText" dxfId="2" priority="3" operator="containsText" text="explicit_digital_twin"/>
  </x:conditionalFormatting>
  <x:dataValidations count="2">
    <x:dataValidation type="list" sqref="O2:O61">
      <x:formula1>"explicit_digital_twin,twin_enabling,simulation_only,review"</x:formula1>
    </x:dataValidation>
    <x:dataValidation type="list" sqref="Q2:Q61">
      <x:formula1>"core,adjacent,watch"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8e1ab64b9444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3" hidden="0" customWidth="1"/>
    <x:col min="7" max="7" width="53" hidden="0" customWidth="1"/>
    <x:col min="8" max="8" width="13" hidden="0" customWidth="1"/>
  </x:cols>
  <x:sheetData>
    <x:row r="1" ht="30" customHeight="1">
      <x:c r="A1" s="164" t="str">
        <x:v>Human Neuromusculoskeletal Digital Twin / Embodied AI — Updated Map</x:v>
      </x:c>
      <x:c r="B1" s="164"/>
      <x:c r="C1" s="164"/>
      <x:c r="D1" s="164"/>
      <x:c r="E1" s="164"/>
      <x:c r="F1" s="164"/>
      <x:c r="G1" s="164"/>
      <x:c r="H1" s="164"/>
    </x:row>
    <x:row r="2">
      <x:c r="A2" s="165"/>
      <x:c r="B2" s="165"/>
      <x:c r="C2" s="165"/>
      <x:c r="D2" s="165"/>
      <x:c r="E2" s="165"/>
      <x:c r="F2" s="165"/>
      <x:c r="G2" s="165"/>
      <x:c r="H2" s="165"/>
    </x:row>
    <x:row r="3" ht="28" customHeight="1">
      <x:c r="A3" s="166" t="str">
        <x:v>Search cutoff</x:v>
      </x:c>
      <x:c r="B3" s="267" t="n">
        <x:v>46296</x:v>
      </x:c>
      <x:c r="C3" s="168" t="str">
        <x:v>Mapped papers</x:v>
      </x:c>
      <x:c r="D3" s="168" t="n">
        <x:f>COUNTA('Literature Matrix'!$A$2:$A$68)</x:f>
        <x:v>67</x:v>
      </x:c>
      <x:c r="E3" s="168" t="str">
        <x:v>Core papers</x:v>
      </x:c>
      <x:c r="F3" s="168" t="n">
        <x:f>COUNTIF('Literature Matrix'!$Q$2:$Q$68,"core")</x:f>
        <x:v>54</x:v>
      </x:c>
      <x:c r="G3" s="168" t="str">
        <x:v>Explicit DT</x:v>
      </x:c>
      <x:c r="H3" s="169" t="n">
        <x:f>COUNTIF('Literature Matrix'!$O$2:$O$68,"explicit_digital_twin")</x:f>
        <x:v>5</x:v>
      </x:c>
    </x:row>
    <x:row r="4">
      <x:c r="A4" s="165"/>
      <x:c r="B4" s="165"/>
      <x:c r="C4" s="165"/>
      <x:c r="D4" s="165"/>
      <x:c r="E4" s="165"/>
      <x:c r="F4" s="165"/>
      <x:c r="G4" s="165"/>
      <x:c r="H4" s="165"/>
    </x:row>
    <x:row r="5">
      <x:c r="A5" s="170" t="str">
        <x:v>Research stream</x:v>
      </x:c>
      <x:c r="B5" s="171" t="str">
        <x:v>Paper count</x:v>
      </x:c>
      <x:c r="C5" s="165"/>
      <x:c r="D5" s="170" t="str">
        <x:v>Twin classification</x:v>
      </x:c>
      <x:c r="E5" s="171" t="str">
        <x:v>Paper count</x:v>
      </x:c>
      <x:c r="F5" s="165"/>
      <x:c r="G5" s="170" t="str">
        <x:v>Priority venue</x:v>
      </x:c>
      <x:c r="H5" s="171" t="str">
        <x:v>Paper count</x:v>
      </x:c>
    </x:row>
    <x:row r="6">
      <x:c r="A6" s="172" t="str">
        <x:v>Digital-twin framing</x:v>
      </x:c>
      <x:c r="B6" s="173" t="n">
        <x:f>COUNTA('Literature Matrix'!$A$2:$A$7)</x:f>
        <x:v>6</x:v>
      </x:c>
      <x:c r="C6" s="165"/>
      <x:c r="D6" s="172" t="str">
        <x:v>explicit_digital_twin</x:v>
      </x:c>
      <x:c r="E6" s="174" t="n">
        <x:f>COUNTIF('Literature Matrix'!$O$2:$O$68,D6)</x:f>
        <x:v>5</x:v>
      </x:c>
      <x:c r="F6" s="165"/>
      <x:c r="G6" s="172" t="str">
        <x:v>IEEE Transactions on Neural Systems and Rehabilitation Engineering</x:v>
      </x:c>
      <x:c r="H6" s="174" t="n">
        <x:f>COUNTIF('Literature Matrix'!$E$2:$E$68,G6)</x:f>
        <x:v>5</x:v>
      </x:c>
    </x:row>
    <x:row r="7">
      <x:c r="A7" s="175" t="str">
        <x:v>NMS/personalization</x:v>
      </x:c>
      <x:c r="B7" s="176" t="n">
        <x:f>COUNTA('Literature Matrix'!$A$8:$A$26,'Literature Matrix'!$A$62:$A$63)</x:f>
        <x:v>21</x:v>
      </x:c>
      <x:c r="C7" s="165"/>
      <x:c r="D7" s="175" t="str">
        <x:v>twin_enabling</x:v>
      </x:c>
      <x:c r="E7" s="177" t="n">
        <x:f>COUNTIF('Literature Matrix'!$O$2:$O$68,D7)</x:f>
        <x:v>45</x:v>
      </x:c>
      <x:c r="F7" s="165"/>
      <x:c r="G7" s="175" t="str">
        <x:v>IEEE Transactions on Biomedical Engineering</x:v>
      </x:c>
      <x:c r="H7" s="177" t="n">
        <x:f>COUNTIF('Literature Matrix'!$E$2:$E$68,G7)</x:f>
        <x:v>2</x:v>
      </x:c>
    </x:row>
    <x:row r="8">
      <x:c r="A8" s="175" t="str">
        <x:v>Neural control</x:v>
      </x:c>
      <x:c r="B8" s="176" t="n">
        <x:f>COUNTA('Literature Matrix'!$A$27:$A$38,'Literature Matrix'!$A$65)</x:f>
        <x:v>13</x:v>
      </x:c>
      <x:c r="C8" s="165"/>
      <x:c r="D8" s="175" t="str">
        <x:v>simulation_only</x:v>
      </x:c>
      <x:c r="E8" s="177" t="n">
        <x:f>COUNTIF('Literature Matrix'!$O$2:$O$68,D8)</x:f>
        <x:v>11</x:v>
      </x:c>
      <x:c r="F8" s="165"/>
      <x:c r="G8" s="175" t="str">
        <x:v>IEEE Journal of Biomedical and Health Informatics</x:v>
      </x:c>
      <x:c r="H8" s="177" t="n">
        <x:f>COUNTIF('Literature Matrix'!$E$2:$E$68,G8)</x:f>
        <x:v>4</x:v>
      </x:c>
    </x:row>
    <x:row r="9">
      <x:c r="A9" s="175" t="str">
        <x:v>Embodied AI</x:v>
      </x:c>
      <x:c r="B9" s="176" t="n">
        <x:f>COUNTA('Literature Matrix'!$A$39:$A$43,'Literature Matrix'!$A$67)</x:f>
        <x:v>6</x:v>
      </x:c>
      <x:c r="C9" s="165"/>
      <x:c r="D9" s="178" t="str">
        <x:v>review</x:v>
      </x:c>
      <x:c r="E9" s="179" t="n">
        <x:f>COUNTIF('Literature Matrix'!$O$2:$O$68,D9)</x:f>
        <x:v>6</x:v>
      </x:c>
      <x:c r="F9" s="165"/>
      <x:c r="G9" s="175" t="str">
        <x:v>IEEE Transactions on Robotics</x:v>
      </x:c>
      <x:c r="H9" s="177" t="n">
        <x:f>COUNTIF('Literature Matrix'!$E$2:$E$68,G9)</x:f>
        <x:v>1</x:v>
      </x:c>
    </x:row>
    <x:row r="10">
      <x:c r="A10" s="175" t="str">
        <x:v>Wearable observability</x:v>
      </x:c>
      <x:c r="B10" s="176" t="n">
        <x:f>COUNTA('Literature Matrix'!$A$44:$A$50,'Literature Matrix'!$A$68)</x:f>
        <x:v>8</x:v>
      </x:c>
      <x:c r="C10" s="165"/>
      <x:c r="D10" s="165"/>
      <x:c r="E10" s="165"/>
      <x:c r="F10" s="165"/>
      <x:c r="G10" s="175" t="str">
        <x:v>Scientific Reports</x:v>
      </x:c>
      <x:c r="H10" s="177" t="n">
        <x:f>COUNTIF('Literature Matrix'!$E$2:$E$68,G10)</x:f>
        <x:v>3</x:v>
      </x:c>
    </x:row>
    <x:row r="11">
      <x:c r="A11" s="178" t="str">
        <x:v>Rehabilitation/robotics</x:v>
      </x:c>
      <x:c r="B11" s="180" t="n">
        <x:f>COUNTA('Literature Matrix'!$A$51:$A$61,'Literature Matrix'!$A$64,'Literature Matrix'!$A$66)</x:f>
        <x:v>13</x:v>
      </x:c>
      <x:c r="C11" s="165"/>
      <x:c r="D11" s="165"/>
      <x:c r="E11" s="165"/>
      <x:c r="F11" s="165"/>
      <x:c r="G11" s="175" t="str">
        <x:v>Journal of NeuroEngineering and Rehabilitation</x:v>
      </x:c>
      <x:c r="H11" s="177" t="n">
        <x:f>COUNTIF('Literature Matrix'!$E$2:$E$68,G11)</x:f>
        <x:v>7</x:v>
      </x:c>
    </x:row>
    <x:row r="12">
      <x:c r="A12" s="165"/>
      <x:c r="B12" s="165"/>
      <x:c r="C12" s="165"/>
      <x:c r="D12" s="165"/>
      <x:c r="E12" s="165"/>
      <x:c r="F12" s="165"/>
      <x:c r="G12" s="175" t="str">
        <x:v>Journal of Biomechanics</x:v>
      </x:c>
      <x:c r="H12" s="177" t="n">
        <x:f>COUNTIF('Literature Matrix'!$E$2:$E$68,G12)</x:f>
        <x:v>4</x:v>
      </x:c>
    </x:row>
    <x:row r="13">
      <x:c r="A13" s="165"/>
      <x:c r="B13" s="165"/>
      <x:c r="C13" s="165"/>
      <x:c r="D13" s="165"/>
      <x:c r="E13" s="165"/>
      <x:c r="F13" s="165"/>
      <x:c r="G13" s="175" t="str">
        <x:v>NeurIPS</x:v>
      </x:c>
      <x:c r="H13" s="177" t="n">
        <x:f>COUNTIF('Literature Matrix'!$E$2:$E$68,G13)</x:f>
        <x:v>1</x:v>
      </x:c>
    </x:row>
    <x:row r="14">
      <x:c r="A14" s="165"/>
      <x:c r="B14" s="165"/>
      <x:c r="C14" s="165"/>
      <x:c r="D14" s="165"/>
      <x:c r="E14" s="165"/>
      <x:c r="F14" s="165"/>
      <x:c r="G14" s="175" t="str">
        <x:v>ICML</x:v>
      </x:c>
      <x:c r="H14" s="177" t="n">
        <x:f>COUNTIF('Literature Matrix'!$E$2:$E$68,G14)</x:f>
        <x:v>2</x:v>
      </x:c>
    </x:row>
    <x:row r="15">
      <x:c r="A15" s="165"/>
      <x:c r="B15" s="165"/>
      <x:c r="C15" s="165"/>
      <x:c r="D15" s="165"/>
      <x:c r="E15" s="165"/>
      <x:c r="F15" s="165"/>
      <x:c r="G15" s="178" t="str">
        <x:v>ICRA</x:v>
      </x:c>
      <x:c r="H15" s="179" t="n">
        <x:f>COUNTIF('Literature Matrix'!$E$2:$E$68,G15)</x:f>
        <x:v>2</x:v>
      </x:c>
    </x:row>
    <x:row r="16">
      <x:c r="A16" s="165"/>
      <x:c r="B16" s="165"/>
      <x:c r="C16" s="165"/>
      <x:c r="D16" s="165"/>
      <x:c r="E16" s="165"/>
      <x:c r="F16" s="165"/>
      <x:c r="G16" s="165"/>
      <x:c r="H16" s="165"/>
    </x:row>
    <x:row r="17" ht="25" customHeight="1">
      <x:c r="A17" s="181" t="str">
        <x:v>Update 2026-10-01: 7 additions (5 journal articles, 2 preprint watch items), 1 publication-status correction, 0 deletions. New evidence links tissue modeling, neural control, FES, wearable ultrasound and multi-skill assistance. No complete longitudinal patient twin verified. See dated search and screening logs.</x:v>
      </x:c>
      <x:c r="B17" s="182"/>
      <x:c r="C17" s="182"/>
      <x:c r="D17" s="182"/>
      <x:c r="E17" s="182"/>
      <x:c r="F17" s="182"/>
      <x:c r="G17" s="182"/>
      <x:c r="H17" s="183"/>
    </x:row>
    <x:row r="18" ht="25" customHeight="1">
      <x:c r="A18" s="184"/>
      <x:c r="B18" s="185"/>
      <x:c r="C18" s="185"/>
      <x:c r="D18" s="185"/>
      <x:c r="E18" s="185"/>
      <x:c r="F18" s="185"/>
      <x:c r="G18" s="185"/>
      <x:c r="H18" s="186"/>
    </x:row>
    <x:row r="19" ht="25" customHeight="1">
      <x:c r="A19" s="187"/>
      <x:c r="B19" s="188"/>
      <x:c r="C19" s="188"/>
      <x:c r="D19" s="188"/>
      <x:c r="E19" s="188"/>
      <x:c r="F19" s="188"/>
      <x:c r="G19" s="188"/>
      <x:c r="H19" s="189"/>
    </x:row>
    <x:row r="20">
      <x:c r="A20" s="165"/>
      <x:c r="B20" s="165"/>
      <x:c r="C20" s="165"/>
      <x:c r="D20" s="165"/>
      <x:c r="E20" s="165"/>
      <x:c r="F20" s="165"/>
      <x:c r="G20" s="165"/>
      <x:c r="H20" s="165"/>
    </x:row>
  </x:sheetData>
  <x:mergeCells>
    <x:mergeCell ref="A1:H1"/>
    <x:mergeCell ref="A17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72" hidden="0" customWidth="1"/>
  </x:cols>
  <x:sheetData>
    <x:row r="1" ht="28" customHeight="1">
      <x:c r="A1" s="218" t="str">
        <x:v>Field</x:v>
      </x:c>
      <x:c r="B1" s="218" t="str">
        <x:v>Allowed values / examples</x:v>
      </x:c>
      <x:c r="C1" s="218" t="str">
        <x:v>Definition</x:v>
      </x:c>
    </x:row>
    <x:row r="2" ht="44" customHeight="1">
      <x:c r="A2" s="256" t="str">
        <x:v>id</x:v>
      </x:c>
      <x:c r="B2" s="257" t="str">
        <x:v>DT/NMS/NEU/EMB/WEA/ROB + sequence</x:v>
      </x:c>
      <x:c r="C2" s="258" t="str">
        <x:v>Stable seed-map identifier and research-stream prefix.</x:v>
      </x:c>
    </x:row>
    <x:row r="3" ht="65" customHeight="1">
      <x:c r="A3" s="259" t="str">
        <x:v>year</x:v>
      </x:c>
      <x:c r="B3" s="260" t="str">
        <x:v>integer</x:v>
      </x:c>
      <x:c r="C3" s="261" t="str">
        <x:v>Earliest verified journal online year when known; issue date and preprint history recorded separately in dated verification CSV.</x:v>
      </x:c>
    </x:row>
    <x:row r="4" ht="44" customHeight="1">
      <x:c r="A4" s="259" t="str">
        <x:v>authors</x:v>
      </x:c>
      <x:c r="B4" s="260" t="str">
        <x:v>semicolon-separated</x:v>
      </x:c>
      <x:c r="C4" s="261" t="str">
        <x:v>Author string; 'et al.' retained for long teams in this first pass.</x:v>
      </x:c>
    </x:row>
    <x:row r="5" ht="44" customHeight="1">
      <x:c r="A5" s="259" t="str">
        <x:v>title</x:v>
      </x:c>
      <x:c r="B5" s="260" t="str">
        <x:v>text</x:v>
      </x:c>
      <x:c r="C5" s="261" t="str">
        <x:v>Published or preprint title.</x:v>
      </x:c>
    </x:row>
    <x:row r="6" ht="44" customHeight="1">
      <x:c r="A6" s="259" t="str">
        <x:v>venue</x:v>
      </x:c>
      <x:c r="B6" s="260" t="str">
        <x:v>text</x:v>
      </x:c>
      <x:c r="C6" s="261" t="str">
        <x:v>Journal or conference.</x:v>
      </x:c>
    </x:row>
    <x:row r="7" ht="44" customHeight="1">
      <x:c r="A7" s="259" t="str">
        <x:v>source_url</x:v>
      </x:c>
      <x:c r="B7" s="260" t="str">
        <x:v>DOI or authoritative page</x:v>
      </x:c>
      <x:c r="C7" s="261" t="str">
        <x:v>Auditable source link.</x:v>
      </x:c>
    </x:row>
    <x:row r="8" ht="44" customHeight="1">
      <x:c r="A8" s="259" t="str">
        <x:v>primary_cluster</x:v>
      </x:c>
      <x:c r="B8" s="260" t="str">
        <x:v>text</x:v>
      </x:c>
      <x:c r="C8" s="261" t="str">
        <x:v>Primary conceptual cluster; papers may bridge other clusters.</x:v>
      </x:c>
    </x:row>
    <x:row r="9" ht="44" customHeight="1">
      <x:c r="A9" s="259" t="str">
        <x:v>population_or_scope</x:v>
      </x:c>
      <x:c r="B9" s="260" t="str">
        <x:v>text</x:v>
      </x:c>
      <x:c r="C9" s="261" t="str">
        <x:v>Human cohort, pathology, anatomy, or simulation scope.</x:v>
      </x:c>
    </x:row>
    <x:row r="10" ht="44" customHeight="1">
      <x:c r="A10" s="259" t="str">
        <x:v>sensing_or_input</x:v>
      </x:c>
      <x:c r="B10" s="260" t="str">
        <x:v>text</x:v>
      </x:c>
      <x:c r="C10" s="261" t="str">
        <x:v>Observed signals/data. IMU is one modality among several.</x:v>
      </x:c>
    </x:row>
    <x:row r="11" ht="44" customHeight="1">
      <x:c r="A11" s="259" t="str">
        <x:v>model_or_method</x:v>
      </x:c>
      <x:c r="B11" s="260" t="str">
        <x:v>text</x:v>
      </x:c>
      <x:c r="C11" s="261" t="str">
        <x:v>Core computational or control method.</x:v>
      </x:c>
    </x:row>
    <x:row r="12" ht="44" customHeight="1">
      <x:c r="A12" s="259" t="str">
        <x:v>personalization</x:v>
      </x:c>
      <x:c r="B12" s="260" t="str">
        <x:v>text</x:v>
      </x:c>
      <x:c r="C12" s="261" t="str">
        <x:v>What is individualized; not a yes/no marketing label.</x:v>
      </x:c>
    </x:row>
    <x:row r="13" ht="44" customHeight="1">
      <x:c r="A13" s="259" t="str">
        <x:v>online_sync</x:v>
      </x:c>
      <x:c r="B13" s="260" t="str">
        <x:v>offline / episodic / real_time / continuous / simulation</x:v>
      </x:c>
      <x:c r="C13" s="261" t="str">
        <x:v>Physical-to-digital update timing or simulated loop.</x:v>
      </x:c>
    </x:row>
    <x:row r="14" ht="44" customHeight="1">
      <x:c r="A14" s="259" t="str">
        <x:v>bidirectional_action</x:v>
      </x:c>
      <x:c r="B14" s="260" t="str">
        <x:v>none / feedback / decision support / control</x:v>
      </x:c>
      <x:c r="C14" s="261" t="str">
        <x:v>How digital output acts on human, clinician, or device.</x:v>
      </x:c>
    </x:row>
    <x:row r="15" ht="44" customHeight="1">
      <x:c r="A15" s="259" t="str">
        <x:v>validation_level</x:v>
      </x:c>
      <x:c r="B15" s="260" t="str">
        <x:v>text</x:v>
      </x:c>
      <x:c r="C15" s="261" t="str">
        <x:v>Highest validation claimed in the source.</x:v>
      </x:c>
    </x:row>
    <x:row r="16" ht="44" customHeight="1">
      <x:c r="A16" s="259" t="str">
        <x:v>dt_status</x:v>
      </x:c>
      <x:c r="B16" s="260" t="str">
        <x:v>explicit_digital_twin / twin_enabling / simulation_only / review</x:v>
      </x:c>
      <x:c r="C16" s="261" t="str">
        <x:v>Evidence-aware relationship to digital-twin concept.</x:v>
      </x:c>
    </x:row>
    <x:row r="17" ht="65" customHeight="1">
      <x:c r="A17" s="259" t="str">
        <x:v>evidence_status</x:v>
      </x:c>
      <x:c r="B17" s="260" t="str">
        <x:v>metadata_verified / metadata_and_abstract_verified / full_text_sections_verified / preprint_metadata_verified</x:v>
      </x:c>
      <x:c r="C17" s="261" t="str">
        <x:v>Depth of actual source inspection. Preprint watch items remain separate; indexed-abstract-only access is stated in screening notes.</x:v>
      </x:c>
    </x:row>
    <x:row r="18" ht="44" customHeight="1">
      <x:c r="A18" s="262" t="str">
        <x:v>priority</x:v>
      </x:c>
      <x:c r="B18" s="263" t="str">
        <x:v>core / adjacent / watch</x:v>
      </x:c>
      <x:c r="C18" s="264" t="str">
        <x:v>Reading/screening priority.</x:v>
      </x:c>
    </x:row>
  </x:sheetData>
  <x:pageMargins left="0.7" right="0.7" top="0.75" bottom="0.75" header="0.3" footer="0.3"/>
</x:worksheet>
</file>